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hidePivotFieldList="1"/>
  <mc:AlternateContent xmlns:mc="http://schemas.openxmlformats.org/markup-compatibility/2006">
    <mc:Choice Requires="x15">
      <x15ac:absPath xmlns:x15ac="http://schemas.microsoft.com/office/spreadsheetml/2010/11/ac" url="https://d.docs.live.net/6f02cc53b76dee8a/Desktop/INTERNSHIP COURSE MATERIAL/Excel Automation/"/>
    </mc:Choice>
  </mc:AlternateContent>
  <xr:revisionPtr revIDLastSave="0" documentId="8_{610809D1-FFA0-4EF0-A173-D27022384D35}" xr6:coauthVersionLast="47" xr6:coauthVersionMax="47" xr10:uidLastSave="{00000000-0000-0000-0000-000000000000}"/>
  <bookViews>
    <workbookView xWindow="-108" yWindow="-108" windowWidth="23256" windowHeight="12576" tabRatio="775" xr2:uid="{00000000-000D-0000-FFFF-FFFF00000000}"/>
  </bookViews>
  <sheets>
    <sheet name="Dashboard" sheetId="6" r:id="rId1"/>
    <sheet name="RPT (4)" sheetId="24" r:id="rId2"/>
    <sheet name="RPT (3)" sheetId="23" r:id="rId3"/>
    <sheet name="RPT (2)" sheetId="22" r:id="rId4"/>
    <sheet name="RPT" sheetId="21" r:id="rId5"/>
    <sheet name="Data" sheetId="5" r:id="rId6"/>
    <sheet name="East" sheetId="1" r:id="rId7"/>
    <sheet name="West" sheetId="2" r:id="rId8"/>
    <sheet name="South" sheetId="3" r:id="rId9"/>
    <sheet name="North" sheetId="4" r:id="rId10"/>
    <sheet name="Info" sheetId="20" r:id="rId11"/>
  </sheets>
  <definedNames>
    <definedName name="_xlnm._FilterDatabase" localSheetId="9" hidden="1">North!$A$1:$H$11</definedName>
    <definedName name="_xlnm._FilterDatabase" localSheetId="8" hidden="1">South!$A$1:$H$11</definedName>
    <definedName name="_xlcn.WorksheetConnection_DashboardPune2.xlsxEast1" hidden="1">East!$A$1:$H$11</definedName>
    <definedName name="_xlcn.WorksheetConnection_DashboardPune2.xlsxWest1" hidden="1">West!$A$1:$H$11</definedName>
    <definedName name="Slicer_Area">#N/A</definedName>
    <definedName name="Slicer_Date">#N/A</definedName>
    <definedName name="Slicer_Name">#N/A</definedName>
    <definedName name="Slicer_Product">#N/A</definedName>
  </definedNames>
  <calcPr calcId="191029"/>
  <pivotCaches>
    <pivotCache cacheId="0" r:id="rId12"/>
  </pivotCaches>
  <extLst>
    <ext xmlns:x14="http://schemas.microsoft.com/office/spreadsheetml/2009/9/main" uri="{BBE1A952-AA13-448e-AADC-164F8A28A991}">
      <x14:slicerCaches>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West" name="West" connection="WorksheetConnection_Dashboard Pune2.xlsx!West"/>
          <x15:modelTable id="East" name="East" connection="WorksheetConnection_Dashboard Pune2.xlsx!East"/>
        </x15:modelTables>
      </x15:dataModel>
    </ext>
  </extLst>
</workbook>
</file>

<file path=xl/calcChain.xml><?xml version="1.0" encoding="utf-8"?>
<calcChain xmlns="http://schemas.openxmlformats.org/spreadsheetml/2006/main">
  <c r="H63" i="5" l="1"/>
  <c r="H62" i="5"/>
  <c r="H61" i="5"/>
  <c r="H60" i="5"/>
  <c r="H59" i="5"/>
  <c r="H58" i="5"/>
  <c r="H57" i="5"/>
  <c r="H56" i="5"/>
  <c r="H55" i="5"/>
  <c r="H54" i="5"/>
  <c r="H53" i="5"/>
  <c r="H52" i="5"/>
  <c r="H51" i="5"/>
  <c r="H50" i="5"/>
  <c r="H49" i="5"/>
  <c r="H48" i="5"/>
  <c r="H47" i="5"/>
  <c r="H46" i="5"/>
  <c r="H45" i="5"/>
  <c r="H44" i="5"/>
  <c r="H43" i="5"/>
  <c r="H42" i="5"/>
  <c r="H41" i="5"/>
  <c r="H40" i="5"/>
  <c r="H39" i="5"/>
  <c r="H38" i="5"/>
  <c r="H37" i="5"/>
  <c r="H36" i="5"/>
  <c r="H35" i="5"/>
  <c r="H34" i="5"/>
  <c r="H33" i="5"/>
  <c r="H32" i="5"/>
  <c r="H31" i="5"/>
  <c r="H30" i="5"/>
  <c r="H29" i="5"/>
  <c r="H28" i="5"/>
  <c r="H27" i="5"/>
  <c r="H26" i="5"/>
  <c r="H25" i="5"/>
  <c r="H24" i="5"/>
  <c r="H23" i="5"/>
  <c r="H22" i="5"/>
  <c r="H21" i="5"/>
  <c r="H20" i="5"/>
  <c r="H19" i="5"/>
  <c r="H18" i="5"/>
  <c r="H17" i="5"/>
  <c r="H16" i="5"/>
  <c r="H15" i="5"/>
  <c r="H14" i="5"/>
  <c r="H13" i="5"/>
  <c r="H12" i="5"/>
  <c r="H11" i="5"/>
  <c r="H10" i="5"/>
  <c r="H9" i="5"/>
  <c r="H8" i="5"/>
  <c r="H7" i="5"/>
  <c r="H6" i="5"/>
  <c r="H5" i="5"/>
  <c r="H4" i="5"/>
  <c r="H3" i="5"/>
  <c r="H16" i="1"/>
  <c r="H15" i="1"/>
  <c r="H14" i="1"/>
  <c r="H13" i="1"/>
  <c r="H12" i="1"/>
  <c r="H16" i="2"/>
  <c r="H15" i="2"/>
  <c r="H14" i="2"/>
  <c r="H13" i="2"/>
  <c r="H12" i="2"/>
  <c r="H16" i="3"/>
  <c r="H15" i="3"/>
  <c r="H14" i="3"/>
  <c r="H13" i="3"/>
  <c r="H12" i="3"/>
  <c r="H17" i="4"/>
  <c r="H16" i="4"/>
  <c r="H15" i="4"/>
  <c r="H14" i="4"/>
  <c r="H13" i="4"/>
  <c r="H12" i="4"/>
  <c r="H2" i="1" l="1"/>
  <c r="H3" i="1"/>
  <c r="H4" i="1"/>
  <c r="H5" i="1"/>
  <c r="H6" i="1"/>
  <c r="H7" i="1"/>
  <c r="H8" i="1"/>
  <c r="H9" i="1"/>
  <c r="H10" i="1"/>
  <c r="H11" i="1"/>
  <c r="H11" i="3" l="1"/>
  <c r="H10" i="3"/>
  <c r="H9" i="3"/>
  <c r="H8" i="3"/>
  <c r="H7" i="3"/>
  <c r="H6" i="3"/>
  <c r="H5" i="3"/>
  <c r="H4" i="3"/>
  <c r="H3" i="3"/>
  <c r="H2" i="3"/>
  <c r="H11" i="4"/>
  <c r="H10" i="4"/>
  <c r="H9" i="4"/>
  <c r="H8" i="4"/>
  <c r="H7" i="4"/>
  <c r="H6" i="4"/>
  <c r="H5" i="4"/>
  <c r="H4" i="4"/>
  <c r="H3" i="4"/>
  <c r="H2" i="4"/>
  <c r="H11" i="2"/>
  <c r="H10" i="2"/>
  <c r="H9" i="2"/>
  <c r="H8" i="2"/>
  <c r="H7" i="2"/>
  <c r="H6" i="2"/>
  <c r="H5" i="2"/>
  <c r="H4" i="2"/>
  <c r="H3" i="2"/>
  <c r="H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Dashboard Pune2.xlsx!East" type="102" refreshedVersion="6" minRefreshableVersion="5">
    <extLst>
      <ext xmlns:x15="http://schemas.microsoft.com/office/spreadsheetml/2010/11/main" uri="{DE250136-89BD-433C-8126-D09CA5730AF9}">
        <x15:connection id="East" autoDelete="1">
          <x15:rangePr sourceName="_xlcn.WorksheetConnection_DashboardPune2.xlsxEast1"/>
        </x15:connection>
      </ext>
    </extLst>
  </connection>
  <connection id="3" xr16:uid="{00000000-0015-0000-FFFF-FFFF02000000}" name="WorksheetConnection_Dashboard Pune2.xlsx!West" type="102" refreshedVersion="6" minRefreshableVersion="5">
    <extLst>
      <ext xmlns:x15="http://schemas.microsoft.com/office/spreadsheetml/2010/11/main" uri="{DE250136-89BD-433C-8126-D09CA5730AF9}">
        <x15:connection id="West">
          <x15:rangePr sourceName="_xlcn.WorksheetConnection_DashboardPune2.xlsxWest1"/>
        </x15:connection>
      </ext>
    </extLst>
  </connection>
</connections>
</file>

<file path=xl/sharedStrings.xml><?xml version="1.0" encoding="utf-8"?>
<sst xmlns="http://schemas.openxmlformats.org/spreadsheetml/2006/main" count="484" uniqueCount="44">
  <si>
    <t>Date</t>
  </si>
  <si>
    <t>Product</t>
  </si>
  <si>
    <t>Name</t>
  </si>
  <si>
    <t>Area</t>
  </si>
  <si>
    <t>Qty</t>
  </si>
  <si>
    <t>Cost</t>
  </si>
  <si>
    <t>Total</t>
  </si>
  <si>
    <t>Sr. No.</t>
  </si>
  <si>
    <t>TV</t>
  </si>
  <si>
    <t>East</t>
  </si>
  <si>
    <t>Mobile</t>
  </si>
  <si>
    <t>Table</t>
  </si>
  <si>
    <t>Computer</t>
  </si>
  <si>
    <t>Laptop</t>
  </si>
  <si>
    <t>Hard Disc</t>
  </si>
  <si>
    <t>Ashok</t>
  </si>
  <si>
    <t>Anil</t>
  </si>
  <si>
    <t>Sunil</t>
  </si>
  <si>
    <t>Rajesh</t>
  </si>
  <si>
    <t>Mangesh</t>
  </si>
  <si>
    <t>West</t>
  </si>
  <si>
    <t>South</t>
  </si>
  <si>
    <t>North</t>
  </si>
  <si>
    <t>Total Sale</t>
  </si>
  <si>
    <t>Slicers-</t>
  </si>
  <si>
    <t>Record Macro to get data in one sheet - Record for East &amp; West only then Edit Macro and paste for South &amp; North</t>
  </si>
  <si>
    <t>Convert Data in to Table. Create Pivot Table Report - Area wise Total Sale - Create Chart - Rename Sheet As RPT</t>
  </si>
  <si>
    <t>Record Macro to Copy RPT sheet before existing sheet - Total 4 Sheets</t>
  </si>
  <si>
    <t>Edit every sheet for different reports and Charts (with Chart Type). Remove Headers / Rename all Charts.</t>
  </si>
  <si>
    <t>Apply filter to get expected results.</t>
  </si>
  <si>
    <t>Yellow in Column Lebels in Pivot Table Report</t>
  </si>
  <si>
    <t>Area,</t>
  </si>
  <si>
    <t>Product,</t>
  </si>
  <si>
    <t>Date,</t>
  </si>
  <si>
    <t>This way you can create Dashboard with New Data also (Add 5 records in each Region and Create Dashboard).</t>
  </si>
  <si>
    <t>Copy all Charts in Dashboard Sheet. Resize 6 * 14 and arrange.</t>
  </si>
  <si>
    <t>Record Macro to Insert Slicers, (Area, Product, Name and Date)  Edit and arrange.</t>
  </si>
  <si>
    <t>Connect Slicers with every chart using Report Connections.</t>
  </si>
  <si>
    <t>After completing all tasks, Delete all four RPT sheets. And Clear all from Data sheet and Dashboard sheet.</t>
  </si>
  <si>
    <t>Add some records in every Region. Run first Macro to get data in Data Sheet. Create Pivot Table report then Set Charts on Dashboard sheet. Run Third Macro Then connect slicers with every Chart.</t>
  </si>
  <si>
    <t>Row Labels</t>
  </si>
  <si>
    <t>Grand Total</t>
  </si>
  <si>
    <t>Sum of Total</t>
  </si>
  <si>
    <t>Sum of Qty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</si>
</sst>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4" x14ac:knownFonts="1">
    <font>
      <sz val="11"/>
      <color theme="1"/>
      <name val="Calibri"/>
      <family val="2"/>
      <scheme val="minor"/>
    </font>
    <font>
      <sz val="11"/>
      <color rgb="FFFF0000"/>
      <name val="Calibri"/>
      <family val="2"/>
      <scheme val="minor"/>
    </font>
    <font>
      <b/>
      <sz val="12"/>
      <color rgb="FF7030A0"/>
      <name val="Calibri"/>
      <family val="2"/>
      <scheme val="minor"/>
    </font>
    <font>
      <b/>
      <sz val="12"/>
      <color rgb="FFFF0000"/>
      <name val="Calibri"/>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6">
    <xf numFmtId="0" fontId="0" fillId="0" borderId="0" xfId="0"/>
    <xf numFmtId="0" fontId="0" fillId="0" borderId="0" xfId="0" applyAlignment="1">
      <alignment horizontal="center"/>
    </xf>
    <xf numFmtId="0" fontId="0" fillId="0" borderId="0" xfId="0" applyFont="1"/>
    <xf numFmtId="164" fontId="0" fillId="0" borderId="0" xfId="0" applyNumberFormat="1"/>
    <xf numFmtId="0" fontId="1" fillId="0" borderId="0" xfId="0" applyFont="1" applyAlignment="1">
      <alignment horizontal="center"/>
    </xf>
    <xf numFmtId="0" fontId="1" fillId="0" borderId="0" xfId="0" applyFont="1"/>
    <xf numFmtId="0" fontId="2" fillId="0" borderId="0" xfId="0" applyFont="1"/>
    <xf numFmtId="0" fontId="0" fillId="0" borderId="1" xfId="0" applyBorder="1" applyAlignment="1">
      <alignment horizontal="left" vertical="center"/>
    </xf>
    <xf numFmtId="0" fontId="0" fillId="0" borderId="0" xfId="0" applyAlignment="1">
      <alignment horizontal="left" vertical="center"/>
    </xf>
    <xf numFmtId="0" fontId="0" fillId="2" borderId="1" xfId="0" applyFill="1" applyBorder="1" applyAlignment="1">
      <alignment horizontal="left" vertical="center"/>
    </xf>
    <xf numFmtId="0" fontId="3" fillId="0" borderId="0" xfId="0" applyFont="1"/>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164" fontId="0" fillId="0" borderId="0" xfId="0" applyNumberFormat="1" applyAlignment="1">
      <alignment horizontal="left" indent="1"/>
    </xf>
  </cellXfs>
  <cellStyles count="1">
    <cellStyle name="Normal" xfId="0" builtinId="0"/>
  </cellStyles>
  <dxfs count="1">
    <dxf>
      <numFmt numFmtId="164" formatCode="[$-409]d/m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Area</a:t>
            </a:r>
            <a:r>
              <a:rPr lang="en-IN" baseline="0"/>
              <a:t> wise Total Sale</a:t>
            </a:r>
          </a:p>
          <a:p>
            <a:pPr>
              <a:defRPr/>
            </a:pPr>
            <a:endParaRPr lang="en-IN"/>
          </a:p>
        </c:rich>
      </c:tx>
      <c:layout>
        <c:manualLayout>
          <c:xMode val="edge"/>
          <c:yMode val="edge"/>
          <c:x val="0.3495207786526684"/>
          <c:y val="7.305336832895889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s>
    <c:plotArea>
      <c:layout/>
      <c:doughnutChart>
        <c:varyColors val="1"/>
        <c:ser>
          <c:idx val="0"/>
          <c:order val="0"/>
          <c:tx>
            <c:strRef>
              <c:f>RPT!$B$3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2350-4685-8F02-694411BCB0EF}"/>
              </c:ext>
            </c:extLst>
          </c:dPt>
          <c:dPt>
            <c:idx val="1"/>
            <c:bubble3D val="0"/>
            <c:spPr>
              <a:solidFill>
                <a:schemeClr val="accent2"/>
              </a:solidFill>
              <a:ln>
                <a:noFill/>
              </a:ln>
              <a:effectLst/>
            </c:spPr>
            <c:extLst>
              <c:ext xmlns:c16="http://schemas.microsoft.com/office/drawing/2014/chart" uri="{C3380CC4-5D6E-409C-BE32-E72D297353CC}">
                <c16:uniqueId val="{00000003-2350-4685-8F02-694411BCB0EF}"/>
              </c:ext>
            </c:extLst>
          </c:dPt>
          <c:dPt>
            <c:idx val="2"/>
            <c:bubble3D val="0"/>
            <c:spPr>
              <a:solidFill>
                <a:schemeClr val="accent3"/>
              </a:solidFill>
              <a:ln>
                <a:noFill/>
              </a:ln>
              <a:effectLst/>
            </c:spPr>
            <c:extLst>
              <c:ext xmlns:c16="http://schemas.microsoft.com/office/drawing/2014/chart" uri="{C3380CC4-5D6E-409C-BE32-E72D297353CC}">
                <c16:uniqueId val="{00000005-2350-4685-8F02-694411BCB0EF}"/>
              </c:ext>
            </c:extLst>
          </c:dPt>
          <c:dPt>
            <c:idx val="3"/>
            <c:bubble3D val="0"/>
            <c:spPr>
              <a:solidFill>
                <a:schemeClr val="accent4"/>
              </a:solidFill>
              <a:ln>
                <a:noFill/>
              </a:ln>
              <a:effectLst/>
            </c:spPr>
            <c:extLst>
              <c:ext xmlns:c16="http://schemas.microsoft.com/office/drawing/2014/chart" uri="{C3380CC4-5D6E-409C-BE32-E72D297353CC}">
                <c16:uniqueId val="{00000007-2350-4685-8F02-694411BCB0EF}"/>
              </c:ext>
            </c:extLst>
          </c:dPt>
          <c:cat>
            <c:strRef>
              <c:f>RPT!$A$4:$A$8</c:f>
              <c:strCache>
                <c:ptCount val="4"/>
                <c:pt idx="0">
                  <c:v>East</c:v>
                </c:pt>
                <c:pt idx="1">
                  <c:v>North</c:v>
                </c:pt>
                <c:pt idx="2">
                  <c:v>South</c:v>
                </c:pt>
                <c:pt idx="3">
                  <c:v>West</c:v>
                </c:pt>
              </c:strCache>
            </c:strRef>
          </c:cat>
          <c:val>
            <c:numRef>
              <c:f>RPT!$B$4:$B$8</c:f>
              <c:numCache>
                <c:formatCode>General</c:formatCode>
                <c:ptCount val="4"/>
                <c:pt idx="0">
                  <c:v>773681</c:v>
                </c:pt>
                <c:pt idx="1">
                  <c:v>521349</c:v>
                </c:pt>
                <c:pt idx="2">
                  <c:v>676954</c:v>
                </c:pt>
                <c:pt idx="3">
                  <c:v>654778</c:v>
                </c:pt>
              </c:numCache>
            </c:numRef>
          </c:val>
          <c:extLst>
            <c:ext xmlns:c16="http://schemas.microsoft.com/office/drawing/2014/chart" uri="{C3380CC4-5D6E-409C-BE32-E72D297353CC}">
              <c16:uniqueId val="{00000008-2350-4685-8F02-694411BCB0EF}"/>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(2)!PivotTable1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aseline="0"/>
              <a:t>Product wise Total Sale</a:t>
            </a:r>
          </a:p>
          <a:p>
            <a:pPr>
              <a:defRPr/>
            </a:pP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pivotFmt>
      <c:pivotFmt>
        <c:idx val="3"/>
        <c:spPr>
          <a:solidFill>
            <a:schemeClr val="accent1"/>
          </a:solidFill>
          <a:ln>
            <a:noFill/>
          </a:ln>
          <a:effectLst/>
          <a:sp3d/>
        </c:spPr>
      </c:pivotFmt>
      <c:pivotFmt>
        <c:idx val="4"/>
        <c:spPr>
          <a:solidFill>
            <a:schemeClr val="accent1"/>
          </a:solidFill>
          <a:ln>
            <a:noFill/>
          </a:ln>
          <a:effectLst/>
          <a:sp3d/>
        </c:spPr>
      </c:pivotFmt>
      <c:pivotFmt>
        <c:idx val="5"/>
        <c:spPr>
          <a:solidFill>
            <a:schemeClr val="accent1"/>
          </a:solidFill>
          <a:ln>
            <a:noFill/>
          </a:ln>
          <a:effectLst/>
          <a:sp3d/>
        </c:spPr>
      </c:pivotFmt>
      <c:pivotFmt>
        <c:idx val="6"/>
        <c:spPr>
          <a:solidFill>
            <a:schemeClr val="accent1"/>
          </a:solidFill>
          <a:ln>
            <a:noFill/>
          </a:ln>
          <a:effectLst/>
          <a:sp3d/>
        </c:spPr>
      </c:pivotFmt>
      <c:pivotFmt>
        <c:idx val="7"/>
        <c:spPr>
          <a:solidFill>
            <a:schemeClr val="accent1"/>
          </a:solidFill>
          <a:ln>
            <a:noFill/>
          </a:ln>
          <a:effectLst/>
          <a:sp3d/>
        </c:spPr>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pivotFmt>
      <c:pivotFmt>
        <c:idx val="10"/>
        <c:spPr>
          <a:solidFill>
            <a:schemeClr val="accent1"/>
          </a:solidFill>
          <a:ln>
            <a:noFill/>
          </a:ln>
          <a:effectLst/>
          <a:sp3d/>
        </c:spPr>
      </c:pivotFmt>
      <c:pivotFmt>
        <c:idx val="11"/>
        <c:spPr>
          <a:solidFill>
            <a:schemeClr val="accent1"/>
          </a:solidFill>
          <a:ln>
            <a:noFill/>
          </a:ln>
          <a:effectLst/>
          <a:sp3d/>
        </c:spPr>
      </c:pivotFmt>
      <c:pivotFmt>
        <c:idx val="12"/>
        <c:spPr>
          <a:solidFill>
            <a:schemeClr val="accent1"/>
          </a:solidFill>
          <a:ln>
            <a:noFill/>
          </a:ln>
          <a:effectLst/>
          <a:sp3d/>
        </c:spPr>
      </c:pivotFmt>
      <c:pivotFmt>
        <c:idx val="13"/>
        <c:spPr>
          <a:solidFill>
            <a:schemeClr val="accent1"/>
          </a:solidFill>
          <a:ln>
            <a:noFill/>
          </a:ln>
          <a:effectLst/>
          <a:sp3d/>
        </c:spPr>
      </c:pivotFmt>
      <c:pivotFmt>
        <c:idx val="14"/>
        <c:spPr>
          <a:solidFill>
            <a:schemeClr val="accent1"/>
          </a:solidFill>
          <a:ln>
            <a:noFill/>
          </a:ln>
          <a:effectLst/>
          <a:sp3d/>
        </c:spPr>
      </c:pivotFmt>
      <c:pivotFmt>
        <c:idx val="1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sp3d/>
        </c:spPr>
      </c:pivotFmt>
      <c:pivotFmt>
        <c:idx val="17"/>
        <c:spPr>
          <a:solidFill>
            <a:schemeClr val="accent1"/>
          </a:solidFill>
          <a:ln>
            <a:noFill/>
          </a:ln>
          <a:effectLst/>
          <a:sp3d/>
        </c:spPr>
      </c:pivotFmt>
      <c:pivotFmt>
        <c:idx val="18"/>
        <c:spPr>
          <a:solidFill>
            <a:schemeClr val="accent1"/>
          </a:solidFill>
          <a:ln>
            <a:noFill/>
          </a:ln>
          <a:effectLst/>
          <a:sp3d/>
        </c:spPr>
      </c:pivotFmt>
      <c:pivotFmt>
        <c:idx val="19"/>
        <c:spPr>
          <a:solidFill>
            <a:schemeClr val="accent1"/>
          </a:solidFill>
          <a:ln>
            <a:noFill/>
          </a:ln>
          <a:effectLst/>
          <a:sp3d/>
        </c:spPr>
      </c:pivotFmt>
      <c:pivotFmt>
        <c:idx val="20"/>
        <c:spPr>
          <a:solidFill>
            <a:schemeClr val="accent1"/>
          </a:solidFill>
          <a:ln>
            <a:noFill/>
          </a:ln>
          <a:effectLst/>
          <a:sp3d/>
        </c:spPr>
      </c:pivotFmt>
      <c:pivotFmt>
        <c:idx val="21"/>
        <c:spPr>
          <a:solidFill>
            <a:schemeClr val="accent1"/>
          </a:solidFill>
          <a:ln>
            <a:noFill/>
          </a:ln>
          <a:effectLst/>
          <a:sp3d/>
        </c:spPr>
      </c:pivotFmt>
    </c:pivotFmts>
    <c:view3D>
      <c:rotX val="7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1631944444444446E-2"/>
          <c:y val="0.31910042735042737"/>
          <c:w val="0.77162051618547678"/>
          <c:h val="0.6066688538932633"/>
        </c:manualLayout>
      </c:layout>
      <c:pie3DChart>
        <c:varyColors val="1"/>
        <c:ser>
          <c:idx val="0"/>
          <c:order val="0"/>
          <c:tx>
            <c:strRef>
              <c:f>'RPT (2)'!$B$3</c:f>
              <c:strCache>
                <c:ptCount val="1"/>
                <c:pt idx="0">
                  <c:v>Total</c:v>
                </c:pt>
              </c:strCache>
            </c:strRef>
          </c:tx>
          <c:dPt>
            <c:idx val="0"/>
            <c:bubble3D val="0"/>
            <c:spPr>
              <a:solidFill>
                <a:schemeClr val="accent1"/>
              </a:solidFill>
              <a:ln>
                <a:noFill/>
              </a:ln>
              <a:effectLst/>
              <a:sp3d/>
            </c:spPr>
            <c:extLst>
              <c:ext xmlns:c16="http://schemas.microsoft.com/office/drawing/2014/chart" uri="{C3380CC4-5D6E-409C-BE32-E72D297353CC}">
                <c16:uniqueId val="{00000001-9A02-4132-8248-2E3E070A558D}"/>
              </c:ext>
            </c:extLst>
          </c:dPt>
          <c:dPt>
            <c:idx val="1"/>
            <c:bubble3D val="0"/>
            <c:spPr>
              <a:solidFill>
                <a:schemeClr val="accent2"/>
              </a:solidFill>
              <a:ln>
                <a:noFill/>
              </a:ln>
              <a:effectLst/>
              <a:sp3d/>
            </c:spPr>
            <c:extLst>
              <c:ext xmlns:c16="http://schemas.microsoft.com/office/drawing/2014/chart" uri="{C3380CC4-5D6E-409C-BE32-E72D297353CC}">
                <c16:uniqueId val="{00000003-9A02-4132-8248-2E3E070A558D}"/>
              </c:ext>
            </c:extLst>
          </c:dPt>
          <c:dPt>
            <c:idx val="2"/>
            <c:bubble3D val="0"/>
            <c:spPr>
              <a:solidFill>
                <a:schemeClr val="accent3"/>
              </a:solidFill>
              <a:ln>
                <a:noFill/>
              </a:ln>
              <a:effectLst/>
              <a:sp3d/>
            </c:spPr>
            <c:extLst>
              <c:ext xmlns:c16="http://schemas.microsoft.com/office/drawing/2014/chart" uri="{C3380CC4-5D6E-409C-BE32-E72D297353CC}">
                <c16:uniqueId val="{00000005-9A02-4132-8248-2E3E070A558D}"/>
              </c:ext>
            </c:extLst>
          </c:dPt>
          <c:dPt>
            <c:idx val="3"/>
            <c:bubble3D val="0"/>
            <c:spPr>
              <a:solidFill>
                <a:schemeClr val="accent4"/>
              </a:solidFill>
              <a:ln>
                <a:noFill/>
              </a:ln>
              <a:effectLst/>
              <a:sp3d/>
            </c:spPr>
            <c:extLst>
              <c:ext xmlns:c16="http://schemas.microsoft.com/office/drawing/2014/chart" uri="{C3380CC4-5D6E-409C-BE32-E72D297353CC}">
                <c16:uniqueId val="{00000007-9A02-4132-8248-2E3E070A558D}"/>
              </c:ext>
            </c:extLst>
          </c:dPt>
          <c:dPt>
            <c:idx val="4"/>
            <c:bubble3D val="0"/>
            <c:spPr>
              <a:solidFill>
                <a:schemeClr val="accent5"/>
              </a:solidFill>
              <a:ln>
                <a:noFill/>
              </a:ln>
              <a:effectLst/>
              <a:sp3d/>
            </c:spPr>
            <c:extLst>
              <c:ext xmlns:c16="http://schemas.microsoft.com/office/drawing/2014/chart" uri="{C3380CC4-5D6E-409C-BE32-E72D297353CC}">
                <c16:uniqueId val="{00000009-9A02-4132-8248-2E3E070A558D}"/>
              </c:ext>
            </c:extLst>
          </c:dPt>
          <c:dPt>
            <c:idx val="5"/>
            <c:bubble3D val="0"/>
            <c:spPr>
              <a:solidFill>
                <a:schemeClr val="accent6"/>
              </a:solidFill>
              <a:ln>
                <a:noFill/>
              </a:ln>
              <a:effectLst/>
              <a:sp3d/>
            </c:spPr>
            <c:extLst>
              <c:ext xmlns:c16="http://schemas.microsoft.com/office/drawing/2014/chart" uri="{C3380CC4-5D6E-409C-BE32-E72D297353CC}">
                <c16:uniqueId val="{0000000B-9A02-4132-8248-2E3E070A558D}"/>
              </c:ext>
            </c:extLst>
          </c:dPt>
          <c:cat>
            <c:strRef>
              <c:f>'RPT (2)'!$A$4:$A$10</c:f>
              <c:strCache>
                <c:ptCount val="6"/>
                <c:pt idx="0">
                  <c:v>Computer</c:v>
                </c:pt>
                <c:pt idx="1">
                  <c:v>Hard Disc</c:v>
                </c:pt>
                <c:pt idx="2">
                  <c:v>Laptop</c:v>
                </c:pt>
                <c:pt idx="3">
                  <c:v>Mobile</c:v>
                </c:pt>
                <c:pt idx="4">
                  <c:v>Table</c:v>
                </c:pt>
                <c:pt idx="5">
                  <c:v>TV</c:v>
                </c:pt>
              </c:strCache>
            </c:strRef>
          </c:cat>
          <c:val>
            <c:numRef>
              <c:f>'RPT (2)'!$B$4:$B$10</c:f>
              <c:numCache>
                <c:formatCode>General</c:formatCode>
                <c:ptCount val="6"/>
                <c:pt idx="0">
                  <c:v>431414</c:v>
                </c:pt>
                <c:pt idx="1">
                  <c:v>293060</c:v>
                </c:pt>
                <c:pt idx="2">
                  <c:v>242798</c:v>
                </c:pt>
                <c:pt idx="3">
                  <c:v>443684</c:v>
                </c:pt>
                <c:pt idx="4">
                  <c:v>717534</c:v>
                </c:pt>
                <c:pt idx="5">
                  <c:v>498272</c:v>
                </c:pt>
              </c:numCache>
            </c:numRef>
          </c:val>
          <c:extLst>
            <c:ext xmlns:c16="http://schemas.microsoft.com/office/drawing/2014/chart" uri="{C3380CC4-5D6E-409C-BE32-E72D297353CC}">
              <c16:uniqueId val="{0000000C-9A02-4132-8248-2E3E070A558D}"/>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(3)!PivotTable1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aseline="0"/>
              <a:t>Area wise Product  Qty Sale</a:t>
            </a:r>
          </a:p>
          <a:p>
            <a:pPr>
              <a:defRPr/>
            </a:pPr>
            <a:endParaRPr lang="en-IN"/>
          </a:p>
        </c:rich>
      </c:tx>
      <c:layout>
        <c:manualLayout>
          <c:xMode val="edge"/>
          <c:yMode val="edge"/>
          <c:x val="0.26554155730533685"/>
          <c:y val="0.11472003499562555"/>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'RPT (3)'!$B$3</c:f>
              <c:strCache>
                <c:ptCount val="1"/>
                <c:pt idx="0">
                  <c:v>Total</c:v>
                </c:pt>
              </c:strCache>
            </c:strRef>
          </c:tx>
          <c:spPr>
            <a:solidFill>
              <a:schemeClr val="accent1"/>
            </a:solidFill>
            <a:ln>
              <a:noFill/>
            </a:ln>
            <a:effectLst/>
          </c:spPr>
          <c:invertIfNegative val="0"/>
          <c:cat>
            <c:multiLvlStrRef>
              <c:f>'RPT (3)'!$A$4:$A$27</c:f>
              <c:multiLvlStrCache>
                <c:ptCount val="17"/>
                <c:lvl>
                  <c:pt idx="0">
                    <c:v>East</c:v>
                  </c:pt>
                  <c:pt idx="1">
                    <c:v>North</c:v>
                  </c:pt>
                  <c:pt idx="2">
                    <c:v>West</c:v>
                  </c:pt>
                  <c:pt idx="3">
                    <c:v>East</c:v>
                  </c:pt>
                  <c:pt idx="4">
                    <c:v>South</c:v>
                  </c:pt>
                  <c:pt idx="5">
                    <c:v>North</c:v>
                  </c:pt>
                  <c:pt idx="6">
                    <c:v>West</c:v>
                  </c:pt>
                  <c:pt idx="7">
                    <c:v>East</c:v>
                  </c:pt>
                  <c:pt idx="8">
                    <c:v>South</c:v>
                  </c:pt>
                  <c:pt idx="9">
                    <c:v>West</c:v>
                  </c:pt>
                  <c:pt idx="10">
                    <c:v>East</c:v>
                  </c:pt>
                  <c:pt idx="11">
                    <c:v>North</c:v>
                  </c:pt>
                  <c:pt idx="12">
                    <c:v>South</c:v>
                  </c:pt>
                  <c:pt idx="13">
                    <c:v>West</c:v>
                  </c:pt>
                  <c:pt idx="14">
                    <c:v>East</c:v>
                  </c:pt>
                  <c:pt idx="15">
                    <c:v>South</c:v>
                  </c:pt>
                  <c:pt idx="16">
                    <c:v>West</c:v>
                  </c:pt>
                </c:lvl>
                <c:lvl>
                  <c:pt idx="0">
                    <c:v>Computer</c:v>
                  </c:pt>
                  <c:pt idx="3">
                    <c:v>Hard Disc</c:v>
                  </c:pt>
                  <c:pt idx="5">
                    <c:v>Laptop</c:v>
                  </c:pt>
                  <c:pt idx="7">
                    <c:v>Mobile</c:v>
                  </c:pt>
                  <c:pt idx="10">
                    <c:v>Table</c:v>
                  </c:pt>
                  <c:pt idx="14">
                    <c:v>TV</c:v>
                  </c:pt>
                </c:lvl>
              </c:multiLvlStrCache>
            </c:multiLvlStrRef>
          </c:cat>
          <c:val>
            <c:numRef>
              <c:f>'RPT (3)'!$B$4:$B$27</c:f>
              <c:numCache>
                <c:formatCode>General</c:formatCode>
                <c:ptCount val="17"/>
                <c:pt idx="0">
                  <c:v>47</c:v>
                </c:pt>
                <c:pt idx="1">
                  <c:v>41</c:v>
                </c:pt>
                <c:pt idx="2">
                  <c:v>37</c:v>
                </c:pt>
                <c:pt idx="3">
                  <c:v>45</c:v>
                </c:pt>
                <c:pt idx="4">
                  <c:v>48</c:v>
                </c:pt>
                <c:pt idx="5">
                  <c:v>40</c:v>
                </c:pt>
                <c:pt idx="6">
                  <c:v>30</c:v>
                </c:pt>
                <c:pt idx="7">
                  <c:v>38</c:v>
                </c:pt>
                <c:pt idx="8">
                  <c:v>42</c:v>
                </c:pt>
                <c:pt idx="9">
                  <c:v>43</c:v>
                </c:pt>
                <c:pt idx="10">
                  <c:v>44</c:v>
                </c:pt>
                <c:pt idx="11">
                  <c:v>56</c:v>
                </c:pt>
                <c:pt idx="12">
                  <c:v>46</c:v>
                </c:pt>
                <c:pt idx="13">
                  <c:v>42</c:v>
                </c:pt>
                <c:pt idx="14">
                  <c:v>48</c:v>
                </c:pt>
                <c:pt idx="15">
                  <c:v>50</c:v>
                </c:pt>
                <c:pt idx="16">
                  <c:v>38</c:v>
                </c:pt>
              </c:numCache>
            </c:numRef>
          </c:val>
          <c:extLst>
            <c:ext xmlns:c16="http://schemas.microsoft.com/office/drawing/2014/chart" uri="{C3380CC4-5D6E-409C-BE32-E72D297353CC}">
              <c16:uniqueId val="{00000000-9742-410D-9243-8A52369A6A11}"/>
            </c:ext>
          </c:extLst>
        </c:ser>
        <c:dLbls>
          <c:showLegendKey val="0"/>
          <c:showVal val="0"/>
          <c:showCatName val="0"/>
          <c:showSerName val="0"/>
          <c:showPercent val="0"/>
          <c:showBubbleSize val="0"/>
        </c:dLbls>
        <c:gapWidth val="100"/>
        <c:axId val="958333199"/>
        <c:axId val="958336111"/>
      </c:barChart>
      <c:valAx>
        <c:axId val="95833611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8333199"/>
        <c:crosses val="autoZero"/>
        <c:crossBetween val="between"/>
      </c:valAx>
      <c:catAx>
        <c:axId val="958333199"/>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8336111"/>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(4)!PivotTable1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aseline="0"/>
              <a:t>Date wise  Product TotalSale</a:t>
            </a:r>
          </a:p>
          <a:p>
            <a:pPr>
              <a:defRPr/>
            </a:pP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'RPT (4)'!$B$3</c:f>
              <c:strCache>
                <c:ptCount val="1"/>
                <c:pt idx="0">
                  <c:v>Total</c:v>
                </c:pt>
              </c:strCache>
            </c:strRef>
          </c:tx>
          <c:spPr>
            <a:solidFill>
              <a:schemeClr val="accent1"/>
            </a:solidFill>
            <a:ln>
              <a:noFill/>
            </a:ln>
            <a:effectLst/>
          </c:spPr>
          <c:invertIfNegative val="0"/>
          <c:cat>
            <c:multiLvlStrRef>
              <c:f>'RPT (4)'!$A$4:$A$50</c:f>
              <c:multiLvlStrCache>
                <c:ptCount val="40"/>
                <c:lvl>
                  <c:pt idx="0">
                    <c:v>2-Jan-2010</c:v>
                  </c:pt>
                  <c:pt idx="1">
                    <c:v>3-Jan-2010</c:v>
                  </c:pt>
                  <c:pt idx="2">
                    <c:v>4-Jan-2010</c:v>
                  </c:pt>
                  <c:pt idx="3">
                    <c:v>7-Jan-2010</c:v>
                  </c:pt>
                  <c:pt idx="4">
                    <c:v>8-Jan-2010</c:v>
                  </c:pt>
                  <c:pt idx="5">
                    <c:v>9-Jan-2010</c:v>
                  </c:pt>
                  <c:pt idx="6">
                    <c:v>2-Jan-2010</c:v>
                  </c:pt>
                  <c:pt idx="7">
                    <c:v>5-Jan-2010</c:v>
                  </c:pt>
                  <c:pt idx="8">
                    <c:v>7-Jan-2010</c:v>
                  </c:pt>
                  <c:pt idx="9">
                    <c:v>10-Jan-2010</c:v>
                  </c:pt>
                  <c:pt idx="10">
                    <c:v>1-Jan-2010</c:v>
                  </c:pt>
                  <c:pt idx="11">
                    <c:v>3-Jan-2010</c:v>
                  </c:pt>
                  <c:pt idx="12">
                    <c:v>4-Jan-2010</c:v>
                  </c:pt>
                  <c:pt idx="13">
                    <c:v>5-Jan-2010</c:v>
                  </c:pt>
                  <c:pt idx="14">
                    <c:v>6-Jan-2010</c:v>
                  </c:pt>
                  <c:pt idx="15">
                    <c:v>8-Jan-2010</c:v>
                  </c:pt>
                  <c:pt idx="16">
                    <c:v>9-Jan-2010</c:v>
                  </c:pt>
                  <c:pt idx="17">
                    <c:v>10-Jan-2010</c:v>
                  </c:pt>
                  <c:pt idx="18">
                    <c:v>1-Jan-2010</c:v>
                  </c:pt>
                  <c:pt idx="19">
                    <c:v>2-Jan-2010</c:v>
                  </c:pt>
                  <c:pt idx="20">
                    <c:v>3-Jan-2010</c:v>
                  </c:pt>
                  <c:pt idx="21">
                    <c:v>6-Jan-2010</c:v>
                  </c:pt>
                  <c:pt idx="22">
                    <c:v>7-Jan-2010</c:v>
                  </c:pt>
                  <c:pt idx="23">
                    <c:v>8-Jan-2010</c:v>
                  </c:pt>
                  <c:pt idx="24">
                    <c:v>1-Jan-2010</c:v>
                  </c:pt>
                  <c:pt idx="25">
                    <c:v>3-Jan-2010</c:v>
                  </c:pt>
                  <c:pt idx="26">
                    <c:v>4-Jan-2010</c:v>
                  </c:pt>
                  <c:pt idx="27">
                    <c:v>5-Jan-2010</c:v>
                  </c:pt>
                  <c:pt idx="28">
                    <c:v>6-Jan-2010</c:v>
                  </c:pt>
                  <c:pt idx="29">
                    <c:v>8-Jan-2010</c:v>
                  </c:pt>
                  <c:pt idx="30">
                    <c:v>9-Jan-2010</c:v>
                  </c:pt>
                  <c:pt idx="31">
                    <c:v>10-Jan-2010</c:v>
                  </c:pt>
                  <c:pt idx="32">
                    <c:v>1-Jan-2010</c:v>
                  </c:pt>
                  <c:pt idx="33">
                    <c:v>2-Jan-2010</c:v>
                  </c:pt>
                  <c:pt idx="34">
                    <c:v>4-Jan-2010</c:v>
                  </c:pt>
                  <c:pt idx="35">
                    <c:v>5-Jan-2010</c:v>
                  </c:pt>
                  <c:pt idx="36">
                    <c:v>6-Jan-2010</c:v>
                  </c:pt>
                  <c:pt idx="37">
                    <c:v>7-Jan-2010</c:v>
                  </c:pt>
                  <c:pt idx="38">
                    <c:v>9-Jan-2010</c:v>
                  </c:pt>
                  <c:pt idx="39">
                    <c:v>10-Jan-2010</c:v>
                  </c:pt>
                </c:lvl>
                <c:lvl>
                  <c:pt idx="0">
                    <c:v>Computer</c:v>
                  </c:pt>
                  <c:pt idx="6">
                    <c:v>Hard Disc</c:v>
                  </c:pt>
                  <c:pt idx="10">
                    <c:v>Laptop</c:v>
                  </c:pt>
                  <c:pt idx="18">
                    <c:v>Mobile</c:v>
                  </c:pt>
                  <c:pt idx="24">
                    <c:v>Table</c:v>
                  </c:pt>
                  <c:pt idx="32">
                    <c:v>TV</c:v>
                  </c:pt>
                </c:lvl>
              </c:multiLvlStrCache>
            </c:multiLvlStrRef>
          </c:cat>
          <c:val>
            <c:numRef>
              <c:f>'RPT (4)'!$B$4:$B$50</c:f>
              <c:numCache>
                <c:formatCode>General</c:formatCode>
                <c:ptCount val="40"/>
                <c:pt idx="0">
                  <c:v>72165</c:v>
                </c:pt>
                <c:pt idx="1">
                  <c:v>53449</c:v>
                </c:pt>
                <c:pt idx="2">
                  <c:v>29068</c:v>
                </c:pt>
                <c:pt idx="3">
                  <c:v>100608</c:v>
                </c:pt>
                <c:pt idx="4">
                  <c:v>79956</c:v>
                </c:pt>
                <c:pt idx="5">
                  <c:v>96168</c:v>
                </c:pt>
                <c:pt idx="6">
                  <c:v>68562</c:v>
                </c:pt>
                <c:pt idx="7">
                  <c:v>66164</c:v>
                </c:pt>
                <c:pt idx="8">
                  <c:v>75930</c:v>
                </c:pt>
                <c:pt idx="9">
                  <c:v>82404</c:v>
                </c:pt>
                <c:pt idx="10">
                  <c:v>16350</c:v>
                </c:pt>
                <c:pt idx="11">
                  <c:v>24320</c:v>
                </c:pt>
                <c:pt idx="12">
                  <c:v>14286</c:v>
                </c:pt>
                <c:pt idx="13">
                  <c:v>45690</c:v>
                </c:pt>
                <c:pt idx="14">
                  <c:v>31760</c:v>
                </c:pt>
                <c:pt idx="15">
                  <c:v>19172</c:v>
                </c:pt>
                <c:pt idx="16">
                  <c:v>22040</c:v>
                </c:pt>
                <c:pt idx="17">
                  <c:v>69180</c:v>
                </c:pt>
                <c:pt idx="18">
                  <c:v>35120</c:v>
                </c:pt>
                <c:pt idx="19">
                  <c:v>35386</c:v>
                </c:pt>
                <c:pt idx="20">
                  <c:v>63792</c:v>
                </c:pt>
                <c:pt idx="21">
                  <c:v>102080</c:v>
                </c:pt>
                <c:pt idx="22">
                  <c:v>84690</c:v>
                </c:pt>
                <c:pt idx="23">
                  <c:v>122616</c:v>
                </c:pt>
                <c:pt idx="24">
                  <c:v>40570</c:v>
                </c:pt>
                <c:pt idx="25">
                  <c:v>52200</c:v>
                </c:pt>
                <c:pt idx="26">
                  <c:v>32880</c:v>
                </c:pt>
                <c:pt idx="27">
                  <c:v>70060</c:v>
                </c:pt>
                <c:pt idx="28">
                  <c:v>147168</c:v>
                </c:pt>
                <c:pt idx="29">
                  <c:v>113496</c:v>
                </c:pt>
                <c:pt idx="30">
                  <c:v>110572</c:v>
                </c:pt>
                <c:pt idx="31">
                  <c:v>150588</c:v>
                </c:pt>
                <c:pt idx="32">
                  <c:v>45696</c:v>
                </c:pt>
                <c:pt idx="33">
                  <c:v>63536</c:v>
                </c:pt>
                <c:pt idx="34">
                  <c:v>23460</c:v>
                </c:pt>
                <c:pt idx="35">
                  <c:v>39624</c:v>
                </c:pt>
                <c:pt idx="36">
                  <c:v>83204</c:v>
                </c:pt>
                <c:pt idx="37">
                  <c:v>147520</c:v>
                </c:pt>
                <c:pt idx="38">
                  <c:v>61732</c:v>
                </c:pt>
                <c:pt idx="39">
                  <c:v>33500</c:v>
                </c:pt>
              </c:numCache>
            </c:numRef>
          </c:val>
          <c:extLst>
            <c:ext xmlns:c16="http://schemas.microsoft.com/office/drawing/2014/chart" uri="{C3380CC4-5D6E-409C-BE32-E72D297353CC}">
              <c16:uniqueId val="{00000000-C5F0-4A56-B835-6070AC3AE760}"/>
            </c:ext>
          </c:extLst>
        </c:ser>
        <c:dLbls>
          <c:showLegendKey val="0"/>
          <c:showVal val="0"/>
          <c:showCatName val="0"/>
          <c:showSerName val="0"/>
          <c:showPercent val="0"/>
          <c:showBubbleSize val="0"/>
        </c:dLbls>
        <c:gapWidth val="100"/>
        <c:axId val="864926671"/>
        <c:axId val="864927087"/>
      </c:barChart>
      <c:catAx>
        <c:axId val="864926671"/>
        <c:scaling>
          <c:orientation val="minMax"/>
        </c:scaling>
        <c:delete val="1"/>
        <c:axPos val="b"/>
        <c:numFmt formatCode="General" sourceLinked="1"/>
        <c:majorTickMark val="out"/>
        <c:minorTickMark val="none"/>
        <c:tickLblPos val="nextTo"/>
        <c:crossAx val="864927087"/>
        <c:crosses val="autoZero"/>
        <c:auto val="1"/>
        <c:lblAlgn val="ctr"/>
        <c:lblOffset val="100"/>
        <c:noMultiLvlLbl val="0"/>
      </c:catAx>
      <c:valAx>
        <c:axId val="8649270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49266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(4)!PivotTable1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aseline="0"/>
              <a:t>Date wise  Product TotalSale</a:t>
            </a:r>
          </a:p>
          <a:p>
            <a:pPr>
              <a:defRPr/>
            </a:pP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pivotFmt>
      <c:pivotFmt>
        <c:idx val="25"/>
        <c:spPr>
          <a:solidFill>
            <a:schemeClr val="accent1"/>
          </a:solidFill>
          <a:ln>
            <a:noFill/>
          </a:ln>
          <a:effectLst/>
        </c:spPr>
      </c:pivotFmt>
    </c:pivotFmts>
    <c:plotArea>
      <c:layout/>
      <c:barChart>
        <c:barDir val="col"/>
        <c:grouping val="clustered"/>
        <c:varyColors val="0"/>
        <c:ser>
          <c:idx val="0"/>
          <c:order val="0"/>
          <c:tx>
            <c:strRef>
              <c:f>'RPT (4)'!$B$3</c:f>
              <c:strCache>
                <c:ptCount val="1"/>
                <c:pt idx="0">
                  <c:v>Total</c:v>
                </c:pt>
              </c:strCache>
            </c:strRef>
          </c:tx>
          <c:spPr>
            <a:solidFill>
              <a:schemeClr val="accent1"/>
            </a:solidFill>
            <a:ln>
              <a:noFill/>
            </a:ln>
            <a:effectLst/>
          </c:spPr>
          <c:invertIfNegative val="0"/>
          <c:cat>
            <c:multiLvlStrRef>
              <c:f>'RPT (4)'!$A$4:$A$50</c:f>
              <c:multiLvlStrCache>
                <c:ptCount val="40"/>
                <c:lvl>
                  <c:pt idx="0">
                    <c:v>2-Jan-2010</c:v>
                  </c:pt>
                  <c:pt idx="1">
                    <c:v>3-Jan-2010</c:v>
                  </c:pt>
                  <c:pt idx="2">
                    <c:v>4-Jan-2010</c:v>
                  </c:pt>
                  <c:pt idx="3">
                    <c:v>7-Jan-2010</c:v>
                  </c:pt>
                  <c:pt idx="4">
                    <c:v>8-Jan-2010</c:v>
                  </c:pt>
                  <c:pt idx="5">
                    <c:v>9-Jan-2010</c:v>
                  </c:pt>
                  <c:pt idx="6">
                    <c:v>2-Jan-2010</c:v>
                  </c:pt>
                  <c:pt idx="7">
                    <c:v>5-Jan-2010</c:v>
                  </c:pt>
                  <c:pt idx="8">
                    <c:v>7-Jan-2010</c:v>
                  </c:pt>
                  <c:pt idx="9">
                    <c:v>10-Jan-2010</c:v>
                  </c:pt>
                  <c:pt idx="10">
                    <c:v>1-Jan-2010</c:v>
                  </c:pt>
                  <c:pt idx="11">
                    <c:v>3-Jan-2010</c:v>
                  </c:pt>
                  <c:pt idx="12">
                    <c:v>4-Jan-2010</c:v>
                  </c:pt>
                  <c:pt idx="13">
                    <c:v>5-Jan-2010</c:v>
                  </c:pt>
                  <c:pt idx="14">
                    <c:v>6-Jan-2010</c:v>
                  </c:pt>
                  <c:pt idx="15">
                    <c:v>8-Jan-2010</c:v>
                  </c:pt>
                  <c:pt idx="16">
                    <c:v>9-Jan-2010</c:v>
                  </c:pt>
                  <c:pt idx="17">
                    <c:v>10-Jan-2010</c:v>
                  </c:pt>
                  <c:pt idx="18">
                    <c:v>1-Jan-2010</c:v>
                  </c:pt>
                  <c:pt idx="19">
                    <c:v>2-Jan-2010</c:v>
                  </c:pt>
                  <c:pt idx="20">
                    <c:v>3-Jan-2010</c:v>
                  </c:pt>
                  <c:pt idx="21">
                    <c:v>6-Jan-2010</c:v>
                  </c:pt>
                  <c:pt idx="22">
                    <c:v>7-Jan-2010</c:v>
                  </c:pt>
                  <c:pt idx="23">
                    <c:v>8-Jan-2010</c:v>
                  </c:pt>
                  <c:pt idx="24">
                    <c:v>1-Jan-2010</c:v>
                  </c:pt>
                  <c:pt idx="25">
                    <c:v>3-Jan-2010</c:v>
                  </c:pt>
                  <c:pt idx="26">
                    <c:v>4-Jan-2010</c:v>
                  </c:pt>
                  <c:pt idx="27">
                    <c:v>5-Jan-2010</c:v>
                  </c:pt>
                  <c:pt idx="28">
                    <c:v>6-Jan-2010</c:v>
                  </c:pt>
                  <c:pt idx="29">
                    <c:v>8-Jan-2010</c:v>
                  </c:pt>
                  <c:pt idx="30">
                    <c:v>9-Jan-2010</c:v>
                  </c:pt>
                  <c:pt idx="31">
                    <c:v>10-Jan-2010</c:v>
                  </c:pt>
                  <c:pt idx="32">
                    <c:v>1-Jan-2010</c:v>
                  </c:pt>
                  <c:pt idx="33">
                    <c:v>2-Jan-2010</c:v>
                  </c:pt>
                  <c:pt idx="34">
                    <c:v>4-Jan-2010</c:v>
                  </c:pt>
                  <c:pt idx="35">
                    <c:v>5-Jan-2010</c:v>
                  </c:pt>
                  <c:pt idx="36">
                    <c:v>6-Jan-2010</c:v>
                  </c:pt>
                  <c:pt idx="37">
                    <c:v>7-Jan-2010</c:v>
                  </c:pt>
                  <c:pt idx="38">
                    <c:v>9-Jan-2010</c:v>
                  </c:pt>
                  <c:pt idx="39">
                    <c:v>10-Jan-2010</c:v>
                  </c:pt>
                </c:lvl>
                <c:lvl>
                  <c:pt idx="0">
                    <c:v>Computer</c:v>
                  </c:pt>
                  <c:pt idx="6">
                    <c:v>Hard Disc</c:v>
                  </c:pt>
                  <c:pt idx="10">
                    <c:v>Laptop</c:v>
                  </c:pt>
                  <c:pt idx="18">
                    <c:v>Mobile</c:v>
                  </c:pt>
                  <c:pt idx="24">
                    <c:v>Table</c:v>
                  </c:pt>
                  <c:pt idx="32">
                    <c:v>TV</c:v>
                  </c:pt>
                </c:lvl>
              </c:multiLvlStrCache>
            </c:multiLvlStrRef>
          </c:cat>
          <c:val>
            <c:numRef>
              <c:f>'RPT (4)'!$B$4:$B$50</c:f>
              <c:numCache>
                <c:formatCode>General</c:formatCode>
                <c:ptCount val="40"/>
                <c:pt idx="0">
                  <c:v>72165</c:v>
                </c:pt>
                <c:pt idx="1">
                  <c:v>53449</c:v>
                </c:pt>
                <c:pt idx="2">
                  <c:v>29068</c:v>
                </c:pt>
                <c:pt idx="3">
                  <c:v>100608</c:v>
                </c:pt>
                <c:pt idx="4">
                  <c:v>79956</c:v>
                </c:pt>
                <c:pt idx="5">
                  <c:v>96168</c:v>
                </c:pt>
                <c:pt idx="6">
                  <c:v>68562</c:v>
                </c:pt>
                <c:pt idx="7">
                  <c:v>66164</c:v>
                </c:pt>
                <c:pt idx="8">
                  <c:v>75930</c:v>
                </c:pt>
                <c:pt idx="9">
                  <c:v>82404</c:v>
                </c:pt>
                <c:pt idx="10">
                  <c:v>16350</c:v>
                </c:pt>
                <c:pt idx="11">
                  <c:v>24320</c:v>
                </c:pt>
                <c:pt idx="12">
                  <c:v>14286</c:v>
                </c:pt>
                <c:pt idx="13">
                  <c:v>45690</c:v>
                </c:pt>
                <c:pt idx="14">
                  <c:v>31760</c:v>
                </c:pt>
                <c:pt idx="15">
                  <c:v>19172</c:v>
                </c:pt>
                <c:pt idx="16">
                  <c:v>22040</c:v>
                </c:pt>
                <c:pt idx="17">
                  <c:v>69180</c:v>
                </c:pt>
                <c:pt idx="18">
                  <c:v>35120</c:v>
                </c:pt>
                <c:pt idx="19">
                  <c:v>35386</c:v>
                </c:pt>
                <c:pt idx="20">
                  <c:v>63792</c:v>
                </c:pt>
                <c:pt idx="21">
                  <c:v>102080</c:v>
                </c:pt>
                <c:pt idx="22">
                  <c:v>84690</c:v>
                </c:pt>
                <c:pt idx="23">
                  <c:v>122616</c:v>
                </c:pt>
                <c:pt idx="24">
                  <c:v>40570</c:v>
                </c:pt>
                <c:pt idx="25">
                  <c:v>52200</c:v>
                </c:pt>
                <c:pt idx="26">
                  <c:v>32880</c:v>
                </c:pt>
                <c:pt idx="27">
                  <c:v>70060</c:v>
                </c:pt>
                <c:pt idx="28">
                  <c:v>147168</c:v>
                </c:pt>
                <c:pt idx="29">
                  <c:v>113496</c:v>
                </c:pt>
                <c:pt idx="30">
                  <c:v>110572</c:v>
                </c:pt>
                <c:pt idx="31">
                  <c:v>150588</c:v>
                </c:pt>
                <c:pt idx="32">
                  <c:v>45696</c:v>
                </c:pt>
                <c:pt idx="33">
                  <c:v>63536</c:v>
                </c:pt>
                <c:pt idx="34">
                  <c:v>23460</c:v>
                </c:pt>
                <c:pt idx="35">
                  <c:v>39624</c:v>
                </c:pt>
                <c:pt idx="36">
                  <c:v>83204</c:v>
                </c:pt>
                <c:pt idx="37">
                  <c:v>147520</c:v>
                </c:pt>
                <c:pt idx="38">
                  <c:v>61732</c:v>
                </c:pt>
                <c:pt idx="39">
                  <c:v>33500</c:v>
                </c:pt>
              </c:numCache>
            </c:numRef>
          </c:val>
          <c:extLst>
            <c:ext xmlns:c16="http://schemas.microsoft.com/office/drawing/2014/chart" uri="{C3380CC4-5D6E-409C-BE32-E72D297353CC}">
              <c16:uniqueId val="{0000000C-B26F-4B31-A368-C6E04F9715DB}"/>
            </c:ext>
          </c:extLst>
        </c:ser>
        <c:dLbls>
          <c:showLegendKey val="0"/>
          <c:showVal val="0"/>
          <c:showCatName val="0"/>
          <c:showSerName val="0"/>
          <c:showPercent val="0"/>
          <c:showBubbleSize val="0"/>
        </c:dLbls>
        <c:gapWidth val="100"/>
        <c:axId val="864926671"/>
        <c:axId val="864927087"/>
      </c:barChart>
      <c:catAx>
        <c:axId val="86492667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4927087"/>
        <c:crosses val="autoZero"/>
        <c:auto val="1"/>
        <c:lblAlgn val="ctr"/>
        <c:lblOffset val="100"/>
        <c:noMultiLvlLbl val="0"/>
      </c:catAx>
      <c:valAx>
        <c:axId val="8649270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49266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(3)!PivotTable1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aseline="0"/>
              <a:t>Area wise Product  Qty Sale</a:t>
            </a:r>
          </a:p>
          <a:p>
            <a:pPr>
              <a:defRPr/>
            </a:pP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'RPT (3)'!$B$3</c:f>
              <c:strCache>
                <c:ptCount val="1"/>
                <c:pt idx="0">
                  <c:v>Total</c:v>
                </c:pt>
              </c:strCache>
            </c:strRef>
          </c:tx>
          <c:spPr>
            <a:solidFill>
              <a:schemeClr val="accent1"/>
            </a:solidFill>
            <a:ln>
              <a:noFill/>
            </a:ln>
            <a:effectLst/>
          </c:spPr>
          <c:invertIfNegative val="0"/>
          <c:cat>
            <c:multiLvlStrRef>
              <c:f>'RPT (3)'!$A$4:$A$27</c:f>
              <c:multiLvlStrCache>
                <c:ptCount val="17"/>
                <c:lvl>
                  <c:pt idx="0">
                    <c:v>East</c:v>
                  </c:pt>
                  <c:pt idx="1">
                    <c:v>North</c:v>
                  </c:pt>
                  <c:pt idx="2">
                    <c:v>West</c:v>
                  </c:pt>
                  <c:pt idx="3">
                    <c:v>East</c:v>
                  </c:pt>
                  <c:pt idx="4">
                    <c:v>South</c:v>
                  </c:pt>
                  <c:pt idx="5">
                    <c:v>North</c:v>
                  </c:pt>
                  <c:pt idx="6">
                    <c:v>West</c:v>
                  </c:pt>
                  <c:pt idx="7">
                    <c:v>East</c:v>
                  </c:pt>
                  <c:pt idx="8">
                    <c:v>South</c:v>
                  </c:pt>
                  <c:pt idx="9">
                    <c:v>West</c:v>
                  </c:pt>
                  <c:pt idx="10">
                    <c:v>East</c:v>
                  </c:pt>
                  <c:pt idx="11">
                    <c:v>North</c:v>
                  </c:pt>
                  <c:pt idx="12">
                    <c:v>South</c:v>
                  </c:pt>
                  <c:pt idx="13">
                    <c:v>West</c:v>
                  </c:pt>
                  <c:pt idx="14">
                    <c:v>East</c:v>
                  </c:pt>
                  <c:pt idx="15">
                    <c:v>South</c:v>
                  </c:pt>
                  <c:pt idx="16">
                    <c:v>West</c:v>
                  </c:pt>
                </c:lvl>
                <c:lvl>
                  <c:pt idx="0">
                    <c:v>Computer</c:v>
                  </c:pt>
                  <c:pt idx="3">
                    <c:v>Hard Disc</c:v>
                  </c:pt>
                  <c:pt idx="5">
                    <c:v>Laptop</c:v>
                  </c:pt>
                  <c:pt idx="7">
                    <c:v>Mobile</c:v>
                  </c:pt>
                  <c:pt idx="10">
                    <c:v>Table</c:v>
                  </c:pt>
                  <c:pt idx="14">
                    <c:v>TV</c:v>
                  </c:pt>
                </c:lvl>
              </c:multiLvlStrCache>
            </c:multiLvlStrRef>
          </c:cat>
          <c:val>
            <c:numRef>
              <c:f>'RPT (3)'!$B$4:$B$27</c:f>
              <c:numCache>
                <c:formatCode>General</c:formatCode>
                <c:ptCount val="17"/>
                <c:pt idx="0">
                  <c:v>47</c:v>
                </c:pt>
                <c:pt idx="1">
                  <c:v>41</c:v>
                </c:pt>
                <c:pt idx="2">
                  <c:v>37</c:v>
                </c:pt>
                <c:pt idx="3">
                  <c:v>45</c:v>
                </c:pt>
                <c:pt idx="4">
                  <c:v>48</c:v>
                </c:pt>
                <c:pt idx="5">
                  <c:v>40</c:v>
                </c:pt>
                <c:pt idx="6">
                  <c:v>30</c:v>
                </c:pt>
                <c:pt idx="7">
                  <c:v>38</c:v>
                </c:pt>
                <c:pt idx="8">
                  <c:v>42</c:v>
                </c:pt>
                <c:pt idx="9">
                  <c:v>43</c:v>
                </c:pt>
                <c:pt idx="10">
                  <c:v>44</c:v>
                </c:pt>
                <c:pt idx="11">
                  <c:v>56</c:v>
                </c:pt>
                <c:pt idx="12">
                  <c:v>46</c:v>
                </c:pt>
                <c:pt idx="13">
                  <c:v>42</c:v>
                </c:pt>
                <c:pt idx="14">
                  <c:v>48</c:v>
                </c:pt>
                <c:pt idx="15">
                  <c:v>50</c:v>
                </c:pt>
                <c:pt idx="16">
                  <c:v>38</c:v>
                </c:pt>
              </c:numCache>
            </c:numRef>
          </c:val>
          <c:extLst>
            <c:ext xmlns:c16="http://schemas.microsoft.com/office/drawing/2014/chart" uri="{C3380CC4-5D6E-409C-BE32-E72D297353CC}">
              <c16:uniqueId val="{0000000E-D172-4942-8FF8-4FF9981B5634}"/>
            </c:ext>
          </c:extLst>
        </c:ser>
        <c:dLbls>
          <c:showLegendKey val="0"/>
          <c:showVal val="0"/>
          <c:showCatName val="0"/>
          <c:showSerName val="0"/>
          <c:showPercent val="0"/>
          <c:showBubbleSize val="0"/>
        </c:dLbls>
        <c:gapWidth val="100"/>
        <c:axId val="958333199"/>
        <c:axId val="958336111"/>
      </c:barChart>
      <c:valAx>
        <c:axId val="95833611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8333199"/>
        <c:crosses val="autoZero"/>
        <c:crossBetween val="between"/>
      </c:valAx>
      <c:catAx>
        <c:axId val="958333199"/>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8336111"/>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(2)!PivotTable1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aseline="0"/>
              <a:t>Product wise Total Sale</a:t>
            </a:r>
          </a:p>
          <a:p>
            <a:pPr>
              <a:defRPr/>
            </a:pP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pivotFmt>
      <c:pivotFmt>
        <c:idx val="3"/>
        <c:spPr>
          <a:solidFill>
            <a:schemeClr val="accent1"/>
          </a:solidFill>
          <a:ln>
            <a:noFill/>
          </a:ln>
          <a:effectLst/>
          <a:sp3d/>
        </c:spPr>
      </c:pivotFmt>
      <c:pivotFmt>
        <c:idx val="4"/>
        <c:spPr>
          <a:solidFill>
            <a:schemeClr val="accent1"/>
          </a:solidFill>
          <a:ln>
            <a:noFill/>
          </a:ln>
          <a:effectLst/>
          <a:sp3d/>
        </c:spPr>
      </c:pivotFmt>
      <c:pivotFmt>
        <c:idx val="5"/>
        <c:spPr>
          <a:solidFill>
            <a:schemeClr val="accent4"/>
          </a:solidFill>
          <a:ln>
            <a:noFill/>
          </a:ln>
          <a:effectLst/>
          <a:sp3d/>
        </c:spPr>
      </c:pivotFmt>
      <c:pivotFmt>
        <c:idx val="6"/>
        <c:spPr>
          <a:solidFill>
            <a:schemeClr val="accent5"/>
          </a:solidFill>
          <a:ln>
            <a:noFill/>
          </a:ln>
          <a:effectLst/>
          <a:sp3d/>
        </c:spPr>
      </c:pivotFmt>
      <c:pivotFmt>
        <c:idx val="7"/>
        <c:spPr>
          <a:solidFill>
            <a:schemeClr val="accent6"/>
          </a:solidFill>
          <a:ln>
            <a:noFill/>
          </a:ln>
          <a:effectLst/>
          <a:sp3d/>
        </c:spPr>
      </c:pivotFmt>
    </c:pivotFmts>
    <c:view3D>
      <c:rotX val="7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666666666666664E-2"/>
          <c:y val="0.35166447944007001"/>
          <c:w val="0.77162051618547678"/>
          <c:h val="0.6066688538932633"/>
        </c:manualLayout>
      </c:layout>
      <c:pie3DChart>
        <c:varyColors val="1"/>
        <c:ser>
          <c:idx val="0"/>
          <c:order val="0"/>
          <c:tx>
            <c:strRef>
              <c:f>'RPT (2)'!$B$3</c:f>
              <c:strCache>
                <c:ptCount val="1"/>
                <c:pt idx="0">
                  <c:v>Total</c:v>
                </c:pt>
              </c:strCache>
            </c:strRef>
          </c:tx>
          <c:dPt>
            <c:idx val="0"/>
            <c:bubble3D val="0"/>
            <c:spPr>
              <a:solidFill>
                <a:schemeClr val="accent1"/>
              </a:solidFill>
              <a:ln>
                <a:noFill/>
              </a:ln>
              <a:effectLst/>
              <a:sp3d/>
            </c:spPr>
            <c:extLst>
              <c:ext xmlns:c16="http://schemas.microsoft.com/office/drawing/2014/chart" uri="{C3380CC4-5D6E-409C-BE32-E72D297353CC}">
                <c16:uniqueId val="{00000001-18BF-440C-B41B-889D7EADB212}"/>
              </c:ext>
            </c:extLst>
          </c:dPt>
          <c:dPt>
            <c:idx val="1"/>
            <c:bubble3D val="0"/>
            <c:spPr>
              <a:solidFill>
                <a:schemeClr val="accent2"/>
              </a:solidFill>
              <a:ln>
                <a:noFill/>
              </a:ln>
              <a:effectLst/>
              <a:sp3d/>
            </c:spPr>
          </c:dPt>
          <c:dPt>
            <c:idx val="2"/>
            <c:bubble3D val="0"/>
            <c:spPr>
              <a:solidFill>
                <a:schemeClr val="accent3"/>
              </a:solidFill>
              <a:ln>
                <a:noFill/>
              </a:ln>
              <a:effectLst/>
              <a:sp3d/>
            </c:spPr>
          </c:dPt>
          <c:dPt>
            <c:idx val="3"/>
            <c:bubble3D val="0"/>
            <c:spPr>
              <a:solidFill>
                <a:schemeClr val="accent4"/>
              </a:solidFill>
              <a:ln>
                <a:noFill/>
              </a:ln>
              <a:effectLst/>
              <a:sp3d/>
            </c:spPr>
          </c:dPt>
          <c:dPt>
            <c:idx val="4"/>
            <c:bubble3D val="0"/>
            <c:spPr>
              <a:solidFill>
                <a:schemeClr val="accent5"/>
              </a:solidFill>
              <a:ln>
                <a:noFill/>
              </a:ln>
              <a:effectLst/>
              <a:sp3d/>
            </c:spPr>
          </c:dPt>
          <c:dPt>
            <c:idx val="5"/>
            <c:bubble3D val="0"/>
            <c:spPr>
              <a:solidFill>
                <a:schemeClr val="accent6"/>
              </a:solidFill>
              <a:ln>
                <a:noFill/>
              </a:ln>
              <a:effectLst/>
              <a:sp3d/>
            </c:spPr>
          </c:dPt>
          <c:cat>
            <c:strRef>
              <c:f>'RPT (2)'!$A$4:$A$10</c:f>
              <c:strCache>
                <c:ptCount val="6"/>
                <c:pt idx="0">
                  <c:v>Computer</c:v>
                </c:pt>
                <c:pt idx="1">
                  <c:v>Hard Disc</c:v>
                </c:pt>
                <c:pt idx="2">
                  <c:v>Laptop</c:v>
                </c:pt>
                <c:pt idx="3">
                  <c:v>Mobile</c:v>
                </c:pt>
                <c:pt idx="4">
                  <c:v>Table</c:v>
                </c:pt>
                <c:pt idx="5">
                  <c:v>TV</c:v>
                </c:pt>
              </c:strCache>
            </c:strRef>
          </c:cat>
          <c:val>
            <c:numRef>
              <c:f>'RPT (2)'!$B$4:$B$10</c:f>
              <c:numCache>
                <c:formatCode>General</c:formatCode>
                <c:ptCount val="6"/>
                <c:pt idx="0">
                  <c:v>431414</c:v>
                </c:pt>
                <c:pt idx="1">
                  <c:v>293060</c:v>
                </c:pt>
                <c:pt idx="2">
                  <c:v>242798</c:v>
                </c:pt>
                <c:pt idx="3">
                  <c:v>443684</c:v>
                </c:pt>
                <c:pt idx="4">
                  <c:v>717534</c:v>
                </c:pt>
                <c:pt idx="5">
                  <c:v>498272</c:v>
                </c:pt>
              </c:numCache>
            </c:numRef>
          </c:val>
          <c:extLst>
            <c:ext xmlns:c16="http://schemas.microsoft.com/office/drawing/2014/chart" uri="{C3380CC4-5D6E-409C-BE32-E72D297353CC}">
              <c16:uniqueId val="{0000000C-18BF-440C-B41B-889D7EADB212}"/>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Area</a:t>
            </a:r>
            <a:r>
              <a:rPr lang="en-IN" baseline="0"/>
              <a:t> wise Total Sale</a:t>
            </a:r>
          </a:p>
          <a:p>
            <a:pPr>
              <a:defRPr/>
            </a:pP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s>
    <c:plotArea>
      <c:layout/>
      <c:doughnutChart>
        <c:varyColors val="1"/>
        <c:ser>
          <c:idx val="0"/>
          <c:order val="0"/>
          <c:tx>
            <c:strRef>
              <c:f>RPT!$B$3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7792-471B-8D90-4D917F8FFA08}"/>
              </c:ext>
            </c:extLst>
          </c:dPt>
          <c:dPt>
            <c:idx val="1"/>
            <c:bubble3D val="0"/>
            <c:spPr>
              <a:solidFill>
                <a:schemeClr val="accent2"/>
              </a:solidFill>
              <a:ln>
                <a:noFill/>
              </a:ln>
              <a:effectLst/>
            </c:spPr>
            <c:extLst>
              <c:ext xmlns:c16="http://schemas.microsoft.com/office/drawing/2014/chart" uri="{C3380CC4-5D6E-409C-BE32-E72D297353CC}">
                <c16:uniqueId val="{00000003-7792-471B-8D90-4D917F8FFA08}"/>
              </c:ext>
            </c:extLst>
          </c:dPt>
          <c:dPt>
            <c:idx val="2"/>
            <c:bubble3D val="0"/>
            <c:spPr>
              <a:solidFill>
                <a:schemeClr val="accent3"/>
              </a:solidFill>
              <a:ln>
                <a:noFill/>
              </a:ln>
              <a:effectLst/>
            </c:spPr>
            <c:extLst>
              <c:ext xmlns:c16="http://schemas.microsoft.com/office/drawing/2014/chart" uri="{C3380CC4-5D6E-409C-BE32-E72D297353CC}">
                <c16:uniqueId val="{00000005-7792-471B-8D90-4D917F8FFA08}"/>
              </c:ext>
            </c:extLst>
          </c:dPt>
          <c:dPt>
            <c:idx val="3"/>
            <c:bubble3D val="0"/>
            <c:spPr>
              <a:solidFill>
                <a:schemeClr val="accent4"/>
              </a:solidFill>
              <a:ln>
                <a:noFill/>
              </a:ln>
              <a:effectLst/>
            </c:spPr>
            <c:extLst>
              <c:ext xmlns:c16="http://schemas.microsoft.com/office/drawing/2014/chart" uri="{C3380CC4-5D6E-409C-BE32-E72D297353CC}">
                <c16:uniqueId val="{00000007-7792-471B-8D90-4D917F8FFA08}"/>
              </c:ext>
            </c:extLst>
          </c:dPt>
          <c:cat>
            <c:strRef>
              <c:f>RPT!$A$4:$A$8</c:f>
              <c:strCache>
                <c:ptCount val="4"/>
                <c:pt idx="0">
                  <c:v>East</c:v>
                </c:pt>
                <c:pt idx="1">
                  <c:v>North</c:v>
                </c:pt>
                <c:pt idx="2">
                  <c:v>South</c:v>
                </c:pt>
                <c:pt idx="3">
                  <c:v>West</c:v>
                </c:pt>
              </c:strCache>
            </c:strRef>
          </c:cat>
          <c:val>
            <c:numRef>
              <c:f>RPT!$B$4:$B$8</c:f>
              <c:numCache>
                <c:formatCode>General</c:formatCode>
                <c:ptCount val="4"/>
                <c:pt idx="0">
                  <c:v>773681</c:v>
                </c:pt>
                <c:pt idx="1">
                  <c:v>521349</c:v>
                </c:pt>
                <c:pt idx="2">
                  <c:v>676954</c:v>
                </c:pt>
                <c:pt idx="3">
                  <c:v>654778</c:v>
                </c:pt>
              </c:numCache>
            </c:numRef>
          </c:val>
          <c:extLst>
            <c:ext xmlns:c16="http://schemas.microsoft.com/office/drawing/2014/chart" uri="{C3380CC4-5D6E-409C-BE32-E72D297353CC}">
              <c16:uniqueId val="{00000000-2D9E-4623-886D-A17E290E9F09}"/>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45720</xdr:colOff>
      <xdr:row>13</xdr:row>
      <xdr:rowOff>0</xdr:rowOff>
    </xdr:from>
    <xdr:to>
      <xdr:col>9</xdr:col>
      <xdr:colOff>319320</xdr:colOff>
      <xdr:row>25</xdr:row>
      <xdr:rowOff>145440</xdr:rowOff>
    </xdr:to>
    <xdr:graphicFrame macro="">
      <xdr:nvGraphicFramePr>
        <xdr:cNvPr id="2" name="Chart 1">
          <a:extLst>
            <a:ext uri="{FF2B5EF4-FFF2-40B4-BE49-F238E27FC236}">
              <a16:creationId xmlns:a16="http://schemas.microsoft.com/office/drawing/2014/main" id="{C6C95F60-8079-4895-80EE-DB4FE06A9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312420</xdr:colOff>
      <xdr:row>0</xdr:row>
      <xdr:rowOff>38100</xdr:rowOff>
    </xdr:from>
    <xdr:to>
      <xdr:col>18</xdr:col>
      <xdr:colOff>586020</xdr:colOff>
      <xdr:row>13</xdr:row>
      <xdr:rowOff>660</xdr:rowOff>
    </xdr:to>
    <xdr:graphicFrame macro="">
      <xdr:nvGraphicFramePr>
        <xdr:cNvPr id="3" name="Chart 2">
          <a:extLst>
            <a:ext uri="{FF2B5EF4-FFF2-40B4-BE49-F238E27FC236}">
              <a16:creationId xmlns:a16="http://schemas.microsoft.com/office/drawing/2014/main" id="{E2914873-B6D5-450D-8491-26A546A94D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320040</xdr:colOff>
      <xdr:row>13</xdr:row>
      <xdr:rowOff>0</xdr:rowOff>
    </xdr:from>
    <xdr:to>
      <xdr:col>18</xdr:col>
      <xdr:colOff>593640</xdr:colOff>
      <xdr:row>25</xdr:row>
      <xdr:rowOff>145440</xdr:rowOff>
    </xdr:to>
    <xdr:graphicFrame macro="">
      <xdr:nvGraphicFramePr>
        <xdr:cNvPr id="4" name="Chart 3">
          <a:extLst>
            <a:ext uri="{FF2B5EF4-FFF2-40B4-BE49-F238E27FC236}">
              <a16:creationId xmlns:a16="http://schemas.microsoft.com/office/drawing/2014/main" id="{E1B896C0-89DD-4D06-89A1-650E4E60F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22860</xdr:colOff>
      <xdr:row>0</xdr:row>
      <xdr:rowOff>22860</xdr:rowOff>
    </xdr:from>
    <xdr:to>
      <xdr:col>9</xdr:col>
      <xdr:colOff>296460</xdr:colOff>
      <xdr:row>12</xdr:row>
      <xdr:rowOff>168300</xdr:rowOff>
    </xdr:to>
    <xdr:graphicFrame macro="">
      <xdr:nvGraphicFramePr>
        <xdr:cNvPr id="5" name="Chart 4">
          <a:extLst>
            <a:ext uri="{FF2B5EF4-FFF2-40B4-BE49-F238E27FC236}">
              <a16:creationId xmlns:a16="http://schemas.microsoft.com/office/drawing/2014/main" id="{ABCADBB7-84FB-4731-A70C-A7191F564B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19</xdr:col>
      <xdr:colOff>7620</xdr:colOff>
      <xdr:row>13</xdr:row>
      <xdr:rowOff>137160</xdr:rowOff>
    </xdr:from>
    <xdr:to>
      <xdr:col>22</xdr:col>
      <xdr:colOff>601980</xdr:colOff>
      <xdr:row>25</xdr:row>
      <xdr:rowOff>114299</xdr:rowOff>
    </xdr:to>
    <mc:AlternateContent xmlns:mc="http://schemas.openxmlformats.org/markup-compatibility/2006">
      <mc:Choice xmlns:a14="http://schemas.microsoft.com/office/drawing/2010/main" Requires="a14">
        <xdr:graphicFrame macro="">
          <xdr:nvGraphicFramePr>
            <xdr:cNvPr id="14" name="Date">
              <a:extLst>
                <a:ext uri="{FF2B5EF4-FFF2-40B4-BE49-F238E27FC236}">
                  <a16:creationId xmlns:a16="http://schemas.microsoft.com/office/drawing/2014/main" id="{BC486439-9989-4234-8E28-7C8BE859E76A}"/>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dr:sp macro="" textlink="">
          <xdr:nvSpPr>
            <xdr:cNvPr id="0" name=""/>
            <xdr:cNvSpPr>
              <a:spLocks noTextEdit="1"/>
            </xdr:cNvSpPr>
          </xdr:nvSpPr>
          <xdr:spPr>
            <a:xfrm>
              <a:off x="11590020" y="2514600"/>
              <a:ext cx="2423160" cy="21716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601980</xdr:colOff>
      <xdr:row>3</xdr:row>
      <xdr:rowOff>121921</xdr:rowOff>
    </xdr:from>
    <xdr:to>
      <xdr:col>23</xdr:col>
      <xdr:colOff>7620</xdr:colOff>
      <xdr:row>8</xdr:row>
      <xdr:rowOff>167641</xdr:rowOff>
    </xdr:to>
    <mc:AlternateContent xmlns:mc="http://schemas.openxmlformats.org/markup-compatibility/2006">
      <mc:Choice xmlns:a14="http://schemas.microsoft.com/office/drawing/2010/main" Requires="a14">
        <xdr:graphicFrame macro="">
          <xdr:nvGraphicFramePr>
            <xdr:cNvPr id="15" name="Product">
              <a:extLst>
                <a:ext uri="{FF2B5EF4-FFF2-40B4-BE49-F238E27FC236}">
                  <a16:creationId xmlns:a16="http://schemas.microsoft.com/office/drawing/2014/main" id="{C9D2FA1B-4621-4BDD-9F15-944ADB54E6EE}"/>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11574780" y="670561"/>
              <a:ext cx="2453640" cy="9601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0</xdr:colOff>
      <xdr:row>8</xdr:row>
      <xdr:rowOff>167641</xdr:rowOff>
    </xdr:from>
    <xdr:to>
      <xdr:col>23</xdr:col>
      <xdr:colOff>7620</xdr:colOff>
      <xdr:row>13</xdr:row>
      <xdr:rowOff>137161</xdr:rowOff>
    </xdr:to>
    <mc:AlternateContent xmlns:mc="http://schemas.openxmlformats.org/markup-compatibility/2006">
      <mc:Choice xmlns:a14="http://schemas.microsoft.com/office/drawing/2010/main" Requires="a14">
        <xdr:graphicFrame macro="">
          <xdr:nvGraphicFramePr>
            <xdr:cNvPr id="16" name="Name">
              <a:extLst>
                <a:ext uri="{FF2B5EF4-FFF2-40B4-BE49-F238E27FC236}">
                  <a16:creationId xmlns:a16="http://schemas.microsoft.com/office/drawing/2014/main" id="{6E52126B-CFBC-4E60-9C5D-EDD7088BBFDF}"/>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dr:sp macro="" textlink="">
          <xdr:nvSpPr>
            <xdr:cNvPr id="0" name=""/>
            <xdr:cNvSpPr>
              <a:spLocks noTextEdit="1"/>
            </xdr:cNvSpPr>
          </xdr:nvSpPr>
          <xdr:spPr>
            <a:xfrm>
              <a:off x="11582400" y="1630681"/>
              <a:ext cx="2446020" cy="8839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601980</xdr:colOff>
      <xdr:row>0</xdr:row>
      <xdr:rowOff>30480</xdr:rowOff>
    </xdr:from>
    <xdr:to>
      <xdr:col>23</xdr:col>
      <xdr:colOff>15240</xdr:colOff>
      <xdr:row>3</xdr:row>
      <xdr:rowOff>121920</xdr:rowOff>
    </xdr:to>
    <mc:AlternateContent xmlns:mc="http://schemas.openxmlformats.org/markup-compatibility/2006">
      <mc:Choice xmlns:a14="http://schemas.microsoft.com/office/drawing/2010/main" Requires="a14">
        <xdr:graphicFrame macro="">
          <xdr:nvGraphicFramePr>
            <xdr:cNvPr id="17" name="Area">
              <a:extLst>
                <a:ext uri="{FF2B5EF4-FFF2-40B4-BE49-F238E27FC236}">
                  <a16:creationId xmlns:a16="http://schemas.microsoft.com/office/drawing/2014/main" id="{C51E9A26-3AD2-494C-94CE-7E20D2878C08}"/>
                </a:ext>
              </a:extLst>
            </xdr:cNvPr>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dr:sp macro="" textlink="">
          <xdr:nvSpPr>
            <xdr:cNvPr id="0" name=""/>
            <xdr:cNvSpPr>
              <a:spLocks noTextEdit="1"/>
            </xdr:cNvSpPr>
          </xdr:nvSpPr>
          <xdr:spPr>
            <a:xfrm>
              <a:off x="11574780" y="30480"/>
              <a:ext cx="2461260" cy="6400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403860</xdr:colOff>
      <xdr:row>6</xdr:row>
      <xdr:rowOff>133350</xdr:rowOff>
    </xdr:from>
    <xdr:to>
      <xdr:col>13</xdr:col>
      <xdr:colOff>99060</xdr:colOff>
      <xdr:row>21</xdr:row>
      <xdr:rowOff>133350</xdr:rowOff>
    </xdr:to>
    <xdr:graphicFrame macro="">
      <xdr:nvGraphicFramePr>
        <xdr:cNvPr id="2" name="Chart 1">
          <a:extLst>
            <a:ext uri="{FF2B5EF4-FFF2-40B4-BE49-F238E27FC236}">
              <a16:creationId xmlns:a16="http://schemas.microsoft.com/office/drawing/2014/main" id="{AB54E345-4D28-4C27-BA07-E5C000F21D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259080</xdr:colOff>
      <xdr:row>8</xdr:row>
      <xdr:rowOff>140970</xdr:rowOff>
    </xdr:from>
    <xdr:to>
      <xdr:col>14</xdr:col>
      <xdr:colOff>320040</xdr:colOff>
      <xdr:row>26</xdr:row>
      <xdr:rowOff>22860</xdr:rowOff>
    </xdr:to>
    <xdr:graphicFrame macro="">
      <xdr:nvGraphicFramePr>
        <xdr:cNvPr id="2" name="Chart 1">
          <a:extLst>
            <a:ext uri="{FF2B5EF4-FFF2-40B4-BE49-F238E27FC236}">
              <a16:creationId xmlns:a16="http://schemas.microsoft.com/office/drawing/2014/main" id="{50F8498A-FF27-418F-9D6C-FF64764671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266700</xdr:colOff>
      <xdr:row>6</xdr:row>
      <xdr:rowOff>34290</xdr:rowOff>
    </xdr:from>
    <xdr:to>
      <xdr:col>12</xdr:col>
      <xdr:colOff>571500</xdr:colOff>
      <xdr:row>21</xdr:row>
      <xdr:rowOff>34290</xdr:rowOff>
    </xdr:to>
    <xdr:graphicFrame macro="">
      <xdr:nvGraphicFramePr>
        <xdr:cNvPr id="2" name="Chart 1">
          <a:extLst>
            <a:ext uri="{FF2B5EF4-FFF2-40B4-BE49-F238E27FC236}">
              <a16:creationId xmlns:a16="http://schemas.microsoft.com/office/drawing/2014/main" id="{D20C7BC1-9B86-4C00-A7F8-8F55DDA143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403860</xdr:colOff>
      <xdr:row>6</xdr:row>
      <xdr:rowOff>133350</xdr:rowOff>
    </xdr:from>
    <xdr:to>
      <xdr:col>13</xdr:col>
      <xdr:colOff>99060</xdr:colOff>
      <xdr:row>21</xdr:row>
      <xdr:rowOff>133350</xdr:rowOff>
    </xdr:to>
    <xdr:graphicFrame macro="">
      <xdr:nvGraphicFramePr>
        <xdr:cNvPr id="2" name="Chart 1">
          <a:extLst>
            <a:ext uri="{FF2B5EF4-FFF2-40B4-BE49-F238E27FC236}">
              <a16:creationId xmlns:a16="http://schemas.microsoft.com/office/drawing/2014/main" id="{51498E94-3FAC-4FFE-AAB5-AEC219F983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4411.66401296296" createdVersion="7" refreshedVersion="7" minRefreshableVersion="3" recordCount="61" xr:uid="{F12B6396-D266-4F17-BD66-00FA302B0D13}">
  <cacheSource type="worksheet">
    <worksheetSource name="Data"/>
  </cacheSource>
  <cacheFields count="8">
    <cacheField name="Sr. No." numFmtId="0">
      <sharedItems containsSemiMixedTypes="0" containsString="0" containsNumber="1" containsInteger="1" minValue="1" maxValue="61"/>
    </cacheField>
    <cacheField name="Date" numFmtId="164">
      <sharedItems containsSemiMixedTypes="0" containsNonDate="0" containsDate="1" containsString="0" minDate="2010-01-01T00:00:00" maxDate="2010-01-11T00:00:00" count="10">
        <d v="2010-01-01T00:00:00"/>
        <d v="2010-01-02T00:00:00"/>
        <d v="2010-01-03T00:00:00"/>
        <d v="2010-01-04T00:00:00"/>
        <d v="2010-01-05T00:00:00"/>
        <d v="2010-01-06T00:00:00"/>
        <d v="2010-01-07T00:00:00"/>
        <d v="2010-01-08T00:00:00"/>
        <d v="2010-01-09T00:00:00"/>
        <d v="2010-01-10T00:00:00"/>
      </sharedItems>
    </cacheField>
    <cacheField name="Product" numFmtId="0">
      <sharedItems count="6">
        <s v="Mobile"/>
        <s v="TV"/>
        <s v="Computer"/>
        <s v="Table"/>
        <s v="Hard Disc"/>
        <s v="Laptop"/>
      </sharedItems>
    </cacheField>
    <cacheField name="Name" numFmtId="0">
      <sharedItems count="5">
        <s v="Ashok"/>
        <s v="Anil"/>
        <s v="Sunil"/>
        <s v="Rajesh"/>
        <s v="Mangesh"/>
      </sharedItems>
    </cacheField>
    <cacheField name="Area" numFmtId="0">
      <sharedItems count="4">
        <s v="East"/>
        <s v="West"/>
        <s v="South"/>
        <s v="North"/>
      </sharedItems>
    </cacheField>
    <cacheField name="Qty" numFmtId="0">
      <sharedItems containsSemiMixedTypes="0" containsString="0" containsNumber="1" containsInteger="1" minValue="2" maxValue="18"/>
    </cacheField>
    <cacheField name="Cost" numFmtId="0">
      <sharedItems containsSemiMixedTypes="0" containsString="0" containsNumber="1" containsInteger="1" minValue="2055" maxValue="4953"/>
    </cacheField>
    <cacheField name="Total" numFmtId="0">
      <sharedItems containsSemiMixedTypes="0" containsString="0" containsNumber="1" containsInteger="1" minValue="9586" maxValue="75294"/>
    </cacheField>
  </cacheFields>
  <extLst>
    <ext xmlns:x14="http://schemas.microsoft.com/office/spreadsheetml/2009/9/main" uri="{725AE2AE-9491-48be-B2B4-4EB974FC3084}">
      <x14:pivotCacheDefinition pivotCacheId="14232315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
  <r>
    <n v="1"/>
    <x v="0"/>
    <x v="0"/>
    <x v="0"/>
    <x v="0"/>
    <n v="16"/>
    <n v="2195"/>
    <n v="35120"/>
  </r>
  <r>
    <n v="2"/>
    <x v="1"/>
    <x v="1"/>
    <x v="1"/>
    <x v="0"/>
    <n v="16"/>
    <n v="3971"/>
    <n v="63536"/>
  </r>
  <r>
    <n v="3"/>
    <x v="2"/>
    <x v="2"/>
    <x v="2"/>
    <x v="0"/>
    <n v="11"/>
    <n v="4859"/>
    <n v="53449"/>
  </r>
  <r>
    <n v="4"/>
    <x v="3"/>
    <x v="3"/>
    <x v="3"/>
    <x v="0"/>
    <n v="16"/>
    <n v="2055"/>
    <n v="32880"/>
  </r>
  <r>
    <n v="5"/>
    <x v="4"/>
    <x v="4"/>
    <x v="4"/>
    <x v="0"/>
    <n v="17"/>
    <n v="3892"/>
    <n v="66164"/>
  </r>
  <r>
    <n v="6"/>
    <x v="5"/>
    <x v="0"/>
    <x v="0"/>
    <x v="0"/>
    <n v="11"/>
    <n v="4640"/>
    <n v="51040"/>
  </r>
  <r>
    <n v="7"/>
    <x v="6"/>
    <x v="1"/>
    <x v="1"/>
    <x v="0"/>
    <n v="16"/>
    <n v="4610"/>
    <n v="73760"/>
  </r>
  <r>
    <n v="8"/>
    <x v="7"/>
    <x v="2"/>
    <x v="2"/>
    <x v="0"/>
    <n v="18"/>
    <n v="2221"/>
    <n v="39978"/>
  </r>
  <r>
    <n v="9"/>
    <x v="8"/>
    <x v="3"/>
    <x v="3"/>
    <x v="0"/>
    <n v="14"/>
    <n v="3949"/>
    <n v="55286"/>
  </r>
  <r>
    <n v="10"/>
    <x v="9"/>
    <x v="4"/>
    <x v="4"/>
    <x v="0"/>
    <n v="14"/>
    <n v="2943"/>
    <n v="41202"/>
  </r>
  <r>
    <n v="11"/>
    <x v="5"/>
    <x v="0"/>
    <x v="0"/>
    <x v="0"/>
    <n v="11"/>
    <n v="4640"/>
    <n v="51040"/>
  </r>
  <r>
    <n v="12"/>
    <x v="6"/>
    <x v="1"/>
    <x v="1"/>
    <x v="0"/>
    <n v="16"/>
    <n v="4610"/>
    <n v="73760"/>
  </r>
  <r>
    <n v="13"/>
    <x v="7"/>
    <x v="2"/>
    <x v="2"/>
    <x v="0"/>
    <n v="18"/>
    <n v="2221"/>
    <n v="39978"/>
  </r>
  <r>
    <n v="14"/>
    <x v="8"/>
    <x v="3"/>
    <x v="3"/>
    <x v="0"/>
    <n v="14"/>
    <n v="3949"/>
    <n v="55286"/>
  </r>
  <r>
    <n v="15"/>
    <x v="9"/>
    <x v="4"/>
    <x v="4"/>
    <x v="0"/>
    <n v="14"/>
    <n v="2943"/>
    <n v="41202"/>
  </r>
  <r>
    <n v="16"/>
    <x v="0"/>
    <x v="1"/>
    <x v="0"/>
    <x v="1"/>
    <n v="16"/>
    <n v="2856"/>
    <n v="45696"/>
  </r>
  <r>
    <n v="17"/>
    <x v="1"/>
    <x v="0"/>
    <x v="1"/>
    <x v="1"/>
    <n v="13"/>
    <n v="2722"/>
    <n v="35386"/>
  </r>
  <r>
    <n v="18"/>
    <x v="2"/>
    <x v="3"/>
    <x v="2"/>
    <x v="1"/>
    <n v="18"/>
    <n v="2900"/>
    <n v="52200"/>
  </r>
  <r>
    <n v="19"/>
    <x v="3"/>
    <x v="2"/>
    <x v="3"/>
    <x v="1"/>
    <n v="13"/>
    <n v="2236"/>
    <n v="29068"/>
  </r>
  <r>
    <n v="20"/>
    <x v="4"/>
    <x v="5"/>
    <x v="4"/>
    <x v="1"/>
    <n v="10"/>
    <n v="4569"/>
    <n v="45690"/>
  </r>
  <r>
    <n v="21"/>
    <x v="5"/>
    <x v="1"/>
    <x v="0"/>
    <x v="1"/>
    <n v="11"/>
    <n v="3782"/>
    <n v="41602"/>
  </r>
  <r>
    <n v="22"/>
    <x v="6"/>
    <x v="0"/>
    <x v="1"/>
    <x v="1"/>
    <n v="15"/>
    <n v="2823"/>
    <n v="42345"/>
  </r>
  <r>
    <n v="23"/>
    <x v="7"/>
    <x v="3"/>
    <x v="2"/>
    <x v="1"/>
    <n v="12"/>
    <n v="4729"/>
    <n v="56748"/>
  </r>
  <r>
    <n v="24"/>
    <x v="8"/>
    <x v="2"/>
    <x v="3"/>
    <x v="1"/>
    <n v="12"/>
    <n v="4007"/>
    <n v="48084"/>
  </r>
  <r>
    <n v="25"/>
    <x v="9"/>
    <x v="5"/>
    <x v="4"/>
    <x v="1"/>
    <n v="10"/>
    <n v="3459"/>
    <n v="34590"/>
  </r>
  <r>
    <n v="26"/>
    <x v="5"/>
    <x v="1"/>
    <x v="0"/>
    <x v="1"/>
    <n v="11"/>
    <n v="3782"/>
    <n v="41602"/>
  </r>
  <r>
    <n v="27"/>
    <x v="6"/>
    <x v="0"/>
    <x v="1"/>
    <x v="1"/>
    <n v="15"/>
    <n v="2823"/>
    <n v="42345"/>
  </r>
  <r>
    <n v="28"/>
    <x v="7"/>
    <x v="3"/>
    <x v="2"/>
    <x v="1"/>
    <n v="12"/>
    <n v="4729"/>
    <n v="56748"/>
  </r>
  <r>
    <n v="29"/>
    <x v="8"/>
    <x v="2"/>
    <x v="3"/>
    <x v="1"/>
    <n v="12"/>
    <n v="4007"/>
    <n v="48084"/>
  </r>
  <r>
    <n v="30"/>
    <x v="9"/>
    <x v="5"/>
    <x v="4"/>
    <x v="1"/>
    <n v="10"/>
    <n v="3459"/>
    <n v="34590"/>
  </r>
  <r>
    <n v="31"/>
    <x v="0"/>
    <x v="3"/>
    <x v="0"/>
    <x v="2"/>
    <n v="10"/>
    <n v="4057"/>
    <n v="40570"/>
  </r>
  <r>
    <n v="32"/>
    <x v="1"/>
    <x v="4"/>
    <x v="1"/>
    <x v="2"/>
    <n v="18"/>
    <n v="3809"/>
    <n v="68562"/>
  </r>
  <r>
    <n v="33"/>
    <x v="2"/>
    <x v="0"/>
    <x v="2"/>
    <x v="2"/>
    <n v="16"/>
    <n v="3987"/>
    <n v="63792"/>
  </r>
  <r>
    <n v="34"/>
    <x v="3"/>
    <x v="1"/>
    <x v="3"/>
    <x v="2"/>
    <n v="10"/>
    <n v="2346"/>
    <n v="23460"/>
  </r>
  <r>
    <n v="35"/>
    <x v="4"/>
    <x v="1"/>
    <x v="4"/>
    <x v="2"/>
    <n v="8"/>
    <n v="4953"/>
    <n v="39624"/>
  </r>
  <r>
    <n v="36"/>
    <x v="5"/>
    <x v="3"/>
    <x v="0"/>
    <x v="2"/>
    <n v="18"/>
    <n v="4088"/>
    <n v="73584"/>
  </r>
  <r>
    <n v="37"/>
    <x v="6"/>
    <x v="4"/>
    <x v="1"/>
    <x v="2"/>
    <n v="15"/>
    <n v="2531"/>
    <n v="37965"/>
  </r>
  <r>
    <n v="38"/>
    <x v="7"/>
    <x v="0"/>
    <x v="2"/>
    <x v="2"/>
    <n v="13"/>
    <n v="4716"/>
    <n v="61308"/>
  </r>
  <r>
    <n v="39"/>
    <x v="8"/>
    <x v="1"/>
    <x v="3"/>
    <x v="2"/>
    <n v="11"/>
    <n v="2806"/>
    <n v="30866"/>
  </r>
  <r>
    <n v="40"/>
    <x v="9"/>
    <x v="1"/>
    <x v="4"/>
    <x v="2"/>
    <n v="5"/>
    <n v="3350"/>
    <n v="16750"/>
  </r>
  <r>
    <n v="41"/>
    <x v="5"/>
    <x v="3"/>
    <x v="0"/>
    <x v="2"/>
    <n v="18"/>
    <n v="4088"/>
    <n v="73584"/>
  </r>
  <r>
    <n v="42"/>
    <x v="6"/>
    <x v="4"/>
    <x v="1"/>
    <x v="2"/>
    <n v="15"/>
    <n v="2531"/>
    <n v="37965"/>
  </r>
  <r>
    <n v="43"/>
    <x v="7"/>
    <x v="0"/>
    <x v="2"/>
    <x v="2"/>
    <n v="13"/>
    <n v="4716"/>
    <n v="61308"/>
  </r>
  <r>
    <n v="44"/>
    <x v="8"/>
    <x v="1"/>
    <x v="3"/>
    <x v="2"/>
    <n v="11"/>
    <n v="2806"/>
    <n v="30866"/>
  </r>
  <r>
    <n v="45"/>
    <x v="9"/>
    <x v="1"/>
    <x v="4"/>
    <x v="2"/>
    <n v="5"/>
    <n v="3350"/>
    <n v="16750"/>
  </r>
  <r>
    <n v="46"/>
    <x v="0"/>
    <x v="5"/>
    <x v="0"/>
    <x v="3"/>
    <n v="5"/>
    <n v="3270"/>
    <n v="16350"/>
  </r>
  <r>
    <n v="47"/>
    <x v="1"/>
    <x v="2"/>
    <x v="1"/>
    <x v="3"/>
    <n v="17"/>
    <n v="4245"/>
    <n v="72165"/>
  </r>
  <r>
    <n v="48"/>
    <x v="2"/>
    <x v="5"/>
    <x v="2"/>
    <x v="3"/>
    <n v="5"/>
    <n v="4864"/>
    <n v="24320"/>
  </r>
  <r>
    <n v="49"/>
    <x v="3"/>
    <x v="5"/>
    <x v="3"/>
    <x v="3"/>
    <n v="6"/>
    <n v="2381"/>
    <n v="14286"/>
  </r>
  <r>
    <n v="50"/>
    <x v="4"/>
    <x v="3"/>
    <x v="4"/>
    <x v="3"/>
    <n v="10"/>
    <n v="3503"/>
    <n v="35030"/>
  </r>
  <r>
    <n v="51"/>
    <x v="5"/>
    <x v="5"/>
    <x v="0"/>
    <x v="3"/>
    <n v="5"/>
    <n v="3176"/>
    <n v="15880"/>
  </r>
  <r>
    <n v="52"/>
    <x v="6"/>
    <x v="2"/>
    <x v="1"/>
    <x v="3"/>
    <n v="12"/>
    <n v="4192"/>
    <n v="50304"/>
  </r>
  <r>
    <n v="53"/>
    <x v="7"/>
    <x v="5"/>
    <x v="2"/>
    <x v="3"/>
    <n v="2"/>
    <n v="4793"/>
    <n v="9586"/>
  </r>
  <r>
    <n v="54"/>
    <x v="8"/>
    <x v="5"/>
    <x v="3"/>
    <x v="3"/>
    <n v="5"/>
    <n v="2204"/>
    <n v="11020"/>
  </r>
  <r>
    <n v="55"/>
    <x v="9"/>
    <x v="3"/>
    <x v="4"/>
    <x v="3"/>
    <n v="18"/>
    <n v="4183"/>
    <n v="75294"/>
  </r>
  <r>
    <n v="56"/>
    <x v="4"/>
    <x v="3"/>
    <x v="4"/>
    <x v="3"/>
    <n v="10"/>
    <n v="3503"/>
    <n v="35030"/>
  </r>
  <r>
    <n v="57"/>
    <x v="5"/>
    <x v="5"/>
    <x v="0"/>
    <x v="3"/>
    <n v="5"/>
    <n v="3176"/>
    <n v="15880"/>
  </r>
  <r>
    <n v="58"/>
    <x v="6"/>
    <x v="2"/>
    <x v="1"/>
    <x v="3"/>
    <n v="12"/>
    <n v="4192"/>
    <n v="50304"/>
  </r>
  <r>
    <n v="59"/>
    <x v="7"/>
    <x v="5"/>
    <x v="2"/>
    <x v="3"/>
    <n v="2"/>
    <n v="4793"/>
    <n v="9586"/>
  </r>
  <r>
    <n v="60"/>
    <x v="8"/>
    <x v="5"/>
    <x v="3"/>
    <x v="3"/>
    <n v="5"/>
    <n v="2204"/>
    <n v="11020"/>
  </r>
  <r>
    <n v="61"/>
    <x v="9"/>
    <x v="3"/>
    <x v="4"/>
    <x v="3"/>
    <n v="18"/>
    <n v="4183"/>
    <n v="7529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60CF8C7-4CD7-407E-B546-AF4C9EDAEC53}"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
  <location ref="A3:B50" firstHeaderRow="1" firstDataRow="1" firstDataCol="1"/>
  <pivotFields count="8">
    <pivotField showAll="0"/>
    <pivotField axis="axisRow" numFmtId="164" showAll="0">
      <items count="11">
        <item x="0"/>
        <item x="1"/>
        <item x="2"/>
        <item x="3"/>
        <item x="4"/>
        <item x="5"/>
        <item x="6"/>
        <item x="7"/>
        <item x="8"/>
        <item x="9"/>
        <item t="default"/>
      </items>
    </pivotField>
    <pivotField axis="axisRow" showAll="0">
      <items count="7">
        <item x="2"/>
        <item x="4"/>
        <item x="5"/>
        <item x="0"/>
        <item x="3"/>
        <item x="1"/>
        <item t="default"/>
      </items>
    </pivotField>
    <pivotField showAll="0">
      <items count="6">
        <item x="1"/>
        <item x="0"/>
        <item x="4"/>
        <item x="3"/>
        <item x="2"/>
        <item t="default"/>
      </items>
    </pivotField>
    <pivotField showAll="0">
      <items count="5">
        <item x="0"/>
        <item x="3"/>
        <item x="2"/>
        <item x="1"/>
        <item t="default"/>
      </items>
    </pivotField>
    <pivotField showAll="0"/>
    <pivotField showAll="0"/>
    <pivotField dataField="1" showAll="0"/>
  </pivotFields>
  <rowFields count="2">
    <field x="2"/>
    <field x="1"/>
  </rowFields>
  <rowItems count="47">
    <i>
      <x/>
    </i>
    <i r="1">
      <x v="1"/>
    </i>
    <i r="1">
      <x v="2"/>
    </i>
    <i r="1">
      <x v="3"/>
    </i>
    <i r="1">
      <x v="6"/>
    </i>
    <i r="1">
      <x v="7"/>
    </i>
    <i r="1">
      <x v="8"/>
    </i>
    <i>
      <x v="1"/>
    </i>
    <i r="1">
      <x v="1"/>
    </i>
    <i r="1">
      <x v="4"/>
    </i>
    <i r="1">
      <x v="6"/>
    </i>
    <i r="1">
      <x v="9"/>
    </i>
    <i>
      <x v="2"/>
    </i>
    <i r="1">
      <x/>
    </i>
    <i r="1">
      <x v="2"/>
    </i>
    <i r="1">
      <x v="3"/>
    </i>
    <i r="1">
      <x v="4"/>
    </i>
    <i r="1">
      <x v="5"/>
    </i>
    <i r="1">
      <x v="7"/>
    </i>
    <i r="1">
      <x v="8"/>
    </i>
    <i r="1">
      <x v="9"/>
    </i>
    <i>
      <x v="3"/>
    </i>
    <i r="1">
      <x/>
    </i>
    <i r="1">
      <x v="1"/>
    </i>
    <i r="1">
      <x v="2"/>
    </i>
    <i r="1">
      <x v="5"/>
    </i>
    <i r="1">
      <x v="6"/>
    </i>
    <i r="1">
      <x v="7"/>
    </i>
    <i>
      <x v="4"/>
    </i>
    <i r="1">
      <x/>
    </i>
    <i r="1">
      <x v="2"/>
    </i>
    <i r="1">
      <x v="3"/>
    </i>
    <i r="1">
      <x v="4"/>
    </i>
    <i r="1">
      <x v="5"/>
    </i>
    <i r="1">
      <x v="7"/>
    </i>
    <i r="1">
      <x v="8"/>
    </i>
    <i r="1">
      <x v="9"/>
    </i>
    <i>
      <x v="5"/>
    </i>
    <i r="1">
      <x/>
    </i>
    <i r="1">
      <x v="1"/>
    </i>
    <i r="1">
      <x v="3"/>
    </i>
    <i r="1">
      <x v="4"/>
    </i>
    <i r="1">
      <x v="5"/>
    </i>
    <i r="1">
      <x v="6"/>
    </i>
    <i r="1">
      <x v="8"/>
    </i>
    <i r="1">
      <x v="9"/>
    </i>
    <i t="grand">
      <x/>
    </i>
  </rowItems>
  <colItems count="1">
    <i/>
  </colItems>
  <dataFields count="1">
    <dataField name="Sum of Total" fld="7" baseField="0" baseItem="0"/>
  </dataFields>
  <chartFormats count="28">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2" count="1" selected="0">
            <x v="0"/>
          </reference>
        </references>
      </pivotArea>
    </chartFormat>
    <chartFormat chart="1" format="3">
      <pivotArea type="data" outline="0" fieldPosition="0">
        <references count="2">
          <reference field="4294967294" count="1" selected="0">
            <x v="0"/>
          </reference>
          <reference field="2" count="1" selected="0">
            <x v="1"/>
          </reference>
        </references>
      </pivotArea>
    </chartFormat>
    <chartFormat chart="1" format="4">
      <pivotArea type="data" outline="0" fieldPosition="0">
        <references count="2">
          <reference field="4294967294" count="1" selected="0">
            <x v="0"/>
          </reference>
          <reference field="2" count="1" selected="0">
            <x v="2"/>
          </reference>
        </references>
      </pivotArea>
    </chartFormat>
    <chartFormat chart="1" format="5">
      <pivotArea type="data" outline="0" fieldPosition="0">
        <references count="2">
          <reference field="4294967294" count="1" selected="0">
            <x v="0"/>
          </reference>
          <reference field="2" count="1" selected="0">
            <x v="3"/>
          </reference>
        </references>
      </pivotArea>
    </chartFormat>
    <chartFormat chart="1" format="6">
      <pivotArea type="data" outline="0" fieldPosition="0">
        <references count="2">
          <reference field="4294967294" count="1" selected="0">
            <x v="0"/>
          </reference>
          <reference field="2" count="1" selected="0">
            <x v="4"/>
          </reference>
        </references>
      </pivotArea>
    </chartFormat>
    <chartFormat chart="1" format="7">
      <pivotArea type="data" outline="0" fieldPosition="0">
        <references count="2">
          <reference field="4294967294" count="1" selected="0">
            <x v="0"/>
          </reference>
          <reference field="2" count="1" selected="0">
            <x v="5"/>
          </reference>
        </references>
      </pivotArea>
    </chartFormat>
    <chartFormat chart="2" format="8" series="1">
      <pivotArea type="data" outline="0" fieldPosition="0">
        <references count="1">
          <reference field="4294967294" count="1" selected="0">
            <x v="0"/>
          </reference>
        </references>
      </pivotArea>
    </chartFormat>
    <chartFormat chart="2" format="9">
      <pivotArea type="data" outline="0" fieldPosition="0">
        <references count="2">
          <reference field="4294967294" count="1" selected="0">
            <x v="0"/>
          </reference>
          <reference field="2" count="1" selected="0">
            <x v="0"/>
          </reference>
        </references>
      </pivotArea>
    </chartFormat>
    <chartFormat chart="2" format="10">
      <pivotArea type="data" outline="0" fieldPosition="0">
        <references count="2">
          <reference field="4294967294" count="1" selected="0">
            <x v="0"/>
          </reference>
          <reference field="2" count="1" selected="0">
            <x v="1"/>
          </reference>
        </references>
      </pivotArea>
    </chartFormat>
    <chartFormat chart="2" format="11">
      <pivotArea type="data" outline="0" fieldPosition="0">
        <references count="2">
          <reference field="4294967294" count="1" selected="0">
            <x v="0"/>
          </reference>
          <reference field="2" count="1" selected="0">
            <x v="2"/>
          </reference>
        </references>
      </pivotArea>
    </chartFormat>
    <chartFormat chart="2" format="12">
      <pivotArea type="data" outline="0" fieldPosition="0">
        <references count="2">
          <reference field="4294967294" count="1" selected="0">
            <x v="0"/>
          </reference>
          <reference field="2" count="1" selected="0">
            <x v="3"/>
          </reference>
        </references>
      </pivotArea>
    </chartFormat>
    <chartFormat chart="2" format="13">
      <pivotArea type="data" outline="0" fieldPosition="0">
        <references count="2">
          <reference field="4294967294" count="1" selected="0">
            <x v="0"/>
          </reference>
          <reference field="2" count="1" selected="0">
            <x v="4"/>
          </reference>
        </references>
      </pivotArea>
    </chartFormat>
    <chartFormat chart="2" format="14">
      <pivotArea type="data" outline="0" fieldPosition="0">
        <references count="2">
          <reference field="4294967294" count="1" selected="0">
            <x v="0"/>
          </reference>
          <reference field="2" count="1" selected="0">
            <x v="5"/>
          </reference>
        </references>
      </pivotArea>
    </chartFormat>
    <chartFormat chart="3" format="15" series="1">
      <pivotArea type="data" outline="0" fieldPosition="0">
        <references count="1">
          <reference field="4294967294" count="1" selected="0">
            <x v="0"/>
          </reference>
        </references>
      </pivotArea>
    </chartFormat>
    <chartFormat chart="3" format="16">
      <pivotArea type="data" outline="0" fieldPosition="0">
        <references count="2">
          <reference field="4294967294" count="1" selected="0">
            <x v="0"/>
          </reference>
          <reference field="2" count="1" selected="0">
            <x v="0"/>
          </reference>
        </references>
      </pivotArea>
    </chartFormat>
    <chartFormat chart="3" format="17">
      <pivotArea type="data" outline="0" fieldPosition="0">
        <references count="2">
          <reference field="4294967294" count="1" selected="0">
            <x v="0"/>
          </reference>
          <reference field="2" count="1" selected="0">
            <x v="1"/>
          </reference>
        </references>
      </pivotArea>
    </chartFormat>
    <chartFormat chart="3" format="18">
      <pivotArea type="data" outline="0" fieldPosition="0">
        <references count="2">
          <reference field="4294967294" count="1" selected="0">
            <x v="0"/>
          </reference>
          <reference field="2" count="1" selected="0">
            <x v="2"/>
          </reference>
        </references>
      </pivotArea>
    </chartFormat>
    <chartFormat chart="3" format="19">
      <pivotArea type="data" outline="0" fieldPosition="0">
        <references count="2">
          <reference field="4294967294" count="1" selected="0">
            <x v="0"/>
          </reference>
          <reference field="2" count="1" selected="0">
            <x v="3"/>
          </reference>
        </references>
      </pivotArea>
    </chartFormat>
    <chartFormat chart="3" format="20">
      <pivotArea type="data" outline="0" fieldPosition="0">
        <references count="2">
          <reference field="4294967294" count="1" selected="0">
            <x v="0"/>
          </reference>
          <reference field="2" count="1" selected="0">
            <x v="4"/>
          </reference>
        </references>
      </pivotArea>
    </chartFormat>
    <chartFormat chart="3" format="21">
      <pivotArea type="data" outline="0" fieldPosition="0">
        <references count="2">
          <reference field="4294967294" count="1" selected="0">
            <x v="0"/>
          </reference>
          <reference field="2" count="1" selected="0">
            <x v="5"/>
          </reference>
        </references>
      </pivotArea>
    </chartFormat>
    <chartFormat chart="4" format="22" series="1">
      <pivotArea type="data" outline="0" fieldPosition="0">
        <references count="1">
          <reference field="4294967294" count="1" selected="0">
            <x v="0"/>
          </reference>
        </references>
      </pivotArea>
    </chartFormat>
    <chartFormat chart="5" format="23" series="1">
      <pivotArea type="data" outline="0" fieldPosition="0">
        <references count="1">
          <reference field="4294967294" count="1" selected="0">
            <x v="0"/>
          </reference>
        </references>
      </pivotArea>
    </chartFormat>
    <chartFormat chart="3" format="22">
      <pivotArea type="data" outline="0" fieldPosition="0">
        <references count="3">
          <reference field="4294967294" count="1" selected="0">
            <x v="0"/>
          </reference>
          <reference field="1" count="1" selected="0">
            <x v="5"/>
          </reference>
          <reference field="2" count="1" selected="0">
            <x v="2"/>
          </reference>
        </references>
      </pivotArea>
    </chartFormat>
    <chartFormat chart="3" format="23">
      <pivotArea type="data" outline="0" fieldPosition="0">
        <references count="3">
          <reference field="4294967294" count="1" selected="0">
            <x v="0"/>
          </reference>
          <reference field="1" count="1" selected="0">
            <x v="5"/>
          </reference>
          <reference field="2" count="1" selected="0">
            <x v="3"/>
          </reference>
        </references>
      </pivotArea>
    </chartFormat>
    <chartFormat chart="3" format="24">
      <pivotArea type="data" outline="0" fieldPosition="0">
        <references count="3">
          <reference field="4294967294" count="1" selected="0">
            <x v="0"/>
          </reference>
          <reference field="1" count="1" selected="0">
            <x v="5"/>
          </reference>
          <reference field="2" count="1" selected="0">
            <x v="4"/>
          </reference>
        </references>
      </pivotArea>
    </chartFormat>
    <chartFormat chart="3" format="25">
      <pivotArea type="data" outline="0" fieldPosition="0">
        <references count="3">
          <reference field="4294967294" count="1" selected="0">
            <x v="0"/>
          </reference>
          <reference field="1" count="1" selected="0">
            <x v="5"/>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F786282-01FD-4802-B621-096E0569C483}"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A3:B27" firstHeaderRow="1" firstDataRow="1" firstDataCol="1"/>
  <pivotFields count="8">
    <pivotField showAll="0"/>
    <pivotField numFmtId="164" showAll="0">
      <items count="11">
        <item x="0"/>
        <item x="1"/>
        <item x="2"/>
        <item x="3"/>
        <item x="4"/>
        <item x="5"/>
        <item x="6"/>
        <item x="7"/>
        <item x="8"/>
        <item x="9"/>
        <item t="default"/>
      </items>
    </pivotField>
    <pivotField axis="axisRow" showAll="0">
      <items count="7">
        <item x="2"/>
        <item x="4"/>
        <item x="5"/>
        <item x="0"/>
        <item x="3"/>
        <item x="1"/>
        <item t="default"/>
      </items>
    </pivotField>
    <pivotField showAll="0">
      <items count="6">
        <item x="1"/>
        <item x="0"/>
        <item x="4"/>
        <item x="3"/>
        <item x="2"/>
        <item t="default"/>
      </items>
    </pivotField>
    <pivotField axis="axisRow" showAll="0">
      <items count="5">
        <item x="0"/>
        <item x="3"/>
        <item x="2"/>
        <item x="1"/>
        <item t="default"/>
      </items>
    </pivotField>
    <pivotField dataField="1" showAll="0"/>
    <pivotField showAll="0"/>
    <pivotField showAll="0"/>
  </pivotFields>
  <rowFields count="2">
    <field x="2"/>
    <field x="4"/>
  </rowFields>
  <rowItems count="24">
    <i>
      <x/>
    </i>
    <i r="1">
      <x/>
    </i>
    <i r="1">
      <x v="1"/>
    </i>
    <i r="1">
      <x v="3"/>
    </i>
    <i>
      <x v="1"/>
    </i>
    <i r="1">
      <x/>
    </i>
    <i r="1">
      <x v="2"/>
    </i>
    <i>
      <x v="2"/>
    </i>
    <i r="1">
      <x v="1"/>
    </i>
    <i r="1">
      <x v="3"/>
    </i>
    <i>
      <x v="3"/>
    </i>
    <i r="1">
      <x/>
    </i>
    <i r="1">
      <x v="2"/>
    </i>
    <i r="1">
      <x v="3"/>
    </i>
    <i>
      <x v="4"/>
    </i>
    <i r="1">
      <x/>
    </i>
    <i r="1">
      <x v="1"/>
    </i>
    <i r="1">
      <x v="2"/>
    </i>
    <i r="1">
      <x v="3"/>
    </i>
    <i>
      <x v="5"/>
    </i>
    <i r="1">
      <x/>
    </i>
    <i r="1">
      <x v="2"/>
    </i>
    <i r="1">
      <x v="3"/>
    </i>
    <i t="grand">
      <x/>
    </i>
  </rowItems>
  <colItems count="1">
    <i/>
  </colItems>
  <dataFields count="1">
    <dataField name="Sum of Qty" fld="5" baseField="0" baseItem="0"/>
  </dataFields>
  <chartFormats count="2">
    <chartFormat chart="2" format="15" series="1">
      <pivotArea type="data" outline="0" fieldPosition="0">
        <references count="1">
          <reference field="4294967294" count="1" selected="0">
            <x v="0"/>
          </reference>
        </references>
      </pivotArea>
    </chartFormat>
    <chartFormat chart="4" format="1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3E9988E-FA96-4B48-B8F6-2A73D160B859}"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3:B10" firstHeaderRow="1" firstDataRow="1" firstDataCol="1"/>
  <pivotFields count="8">
    <pivotField showAll="0"/>
    <pivotField numFmtId="164" showAll="0">
      <items count="11">
        <item x="0"/>
        <item x="1"/>
        <item x="2"/>
        <item x="3"/>
        <item x="4"/>
        <item x="5"/>
        <item x="6"/>
        <item x="7"/>
        <item x="8"/>
        <item x="9"/>
        <item t="default"/>
      </items>
    </pivotField>
    <pivotField axis="axisRow" showAll="0">
      <items count="7">
        <item x="2"/>
        <item x="4"/>
        <item x="5"/>
        <item x="0"/>
        <item x="3"/>
        <item x="1"/>
        <item t="default"/>
      </items>
    </pivotField>
    <pivotField showAll="0">
      <items count="6">
        <item x="1"/>
        <item x="0"/>
        <item x="4"/>
        <item x="3"/>
        <item x="2"/>
        <item t="default"/>
      </items>
    </pivotField>
    <pivotField showAll="0">
      <items count="5">
        <item x="0"/>
        <item x="3"/>
        <item x="2"/>
        <item x="1"/>
        <item t="default"/>
      </items>
    </pivotField>
    <pivotField showAll="0"/>
    <pivotField showAll="0"/>
    <pivotField dataField="1" showAll="0"/>
  </pivotFields>
  <rowFields count="1">
    <field x="2"/>
  </rowFields>
  <rowItems count="7">
    <i>
      <x/>
    </i>
    <i>
      <x v="1"/>
    </i>
    <i>
      <x v="2"/>
    </i>
    <i>
      <x v="3"/>
    </i>
    <i>
      <x v="4"/>
    </i>
    <i>
      <x v="5"/>
    </i>
    <i t="grand">
      <x/>
    </i>
  </rowItems>
  <colItems count="1">
    <i/>
  </colItems>
  <dataFields count="1">
    <dataField name="Sum of Total" fld="7" baseField="0" baseItem="0"/>
  </dataFields>
  <chartFormats count="15">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2" count="1" selected="0">
            <x v="0"/>
          </reference>
        </references>
      </pivotArea>
    </chartFormat>
    <chartFormat chart="1" format="3">
      <pivotArea type="data" outline="0" fieldPosition="0">
        <references count="2">
          <reference field="4294967294" count="1" selected="0">
            <x v="0"/>
          </reference>
          <reference field="2" count="1" selected="0">
            <x v="1"/>
          </reference>
        </references>
      </pivotArea>
    </chartFormat>
    <chartFormat chart="1" format="4">
      <pivotArea type="data" outline="0" fieldPosition="0">
        <references count="2">
          <reference field="4294967294" count="1" selected="0">
            <x v="0"/>
          </reference>
          <reference field="2" count="1" selected="0">
            <x v="2"/>
          </reference>
        </references>
      </pivotArea>
    </chartFormat>
    <chartFormat chart="1" format="5">
      <pivotArea type="data" outline="0" fieldPosition="0">
        <references count="2">
          <reference field="4294967294" count="1" selected="0">
            <x v="0"/>
          </reference>
          <reference field="2" count="1" selected="0">
            <x v="3"/>
          </reference>
        </references>
      </pivotArea>
    </chartFormat>
    <chartFormat chart="1" format="6">
      <pivotArea type="data" outline="0" fieldPosition="0">
        <references count="2">
          <reference field="4294967294" count="1" selected="0">
            <x v="0"/>
          </reference>
          <reference field="2" count="1" selected="0">
            <x v="4"/>
          </reference>
        </references>
      </pivotArea>
    </chartFormat>
    <chartFormat chart="1" format="7">
      <pivotArea type="data" outline="0" fieldPosition="0">
        <references count="2">
          <reference field="4294967294" count="1" selected="0">
            <x v="0"/>
          </reference>
          <reference field="2" count="1" selected="0">
            <x v="5"/>
          </reference>
        </references>
      </pivotArea>
    </chartFormat>
    <chartFormat chart="3" format="15" series="1">
      <pivotArea type="data" outline="0" fieldPosition="0">
        <references count="1">
          <reference field="4294967294" count="1" selected="0">
            <x v="0"/>
          </reference>
        </references>
      </pivotArea>
    </chartFormat>
    <chartFormat chart="3" format="16">
      <pivotArea type="data" outline="0" fieldPosition="0">
        <references count="2">
          <reference field="4294967294" count="1" selected="0">
            <x v="0"/>
          </reference>
          <reference field="2" count="1" selected="0">
            <x v="0"/>
          </reference>
        </references>
      </pivotArea>
    </chartFormat>
    <chartFormat chart="3" format="17">
      <pivotArea type="data" outline="0" fieldPosition="0">
        <references count="2">
          <reference field="4294967294" count="1" selected="0">
            <x v="0"/>
          </reference>
          <reference field="2" count="1" selected="0">
            <x v="1"/>
          </reference>
        </references>
      </pivotArea>
    </chartFormat>
    <chartFormat chart="3" format="18">
      <pivotArea type="data" outline="0" fieldPosition="0">
        <references count="2">
          <reference field="4294967294" count="1" selected="0">
            <x v="0"/>
          </reference>
          <reference field="2" count="1" selected="0">
            <x v="2"/>
          </reference>
        </references>
      </pivotArea>
    </chartFormat>
    <chartFormat chart="3" format="19">
      <pivotArea type="data" outline="0" fieldPosition="0">
        <references count="2">
          <reference field="4294967294" count="1" selected="0">
            <x v="0"/>
          </reference>
          <reference field="2" count="1" selected="0">
            <x v="3"/>
          </reference>
        </references>
      </pivotArea>
    </chartFormat>
    <chartFormat chart="3" format="20">
      <pivotArea type="data" outline="0" fieldPosition="0">
        <references count="2">
          <reference field="4294967294" count="1" selected="0">
            <x v="0"/>
          </reference>
          <reference field="2" count="1" selected="0">
            <x v="4"/>
          </reference>
        </references>
      </pivotArea>
    </chartFormat>
    <chartFormat chart="3" format="21">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DE5989D-6215-40A7-B238-2300F8967BC6}"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3:B8" firstHeaderRow="1" firstDataRow="1" firstDataCol="1"/>
  <pivotFields count="8">
    <pivotField showAll="0"/>
    <pivotField numFmtId="164" showAll="0">
      <items count="11">
        <item x="0"/>
        <item x="1"/>
        <item x="2"/>
        <item x="3"/>
        <item x="4"/>
        <item x="5"/>
        <item x="6"/>
        <item x="7"/>
        <item x="8"/>
        <item x="9"/>
        <item t="default"/>
      </items>
    </pivotField>
    <pivotField showAll="0">
      <items count="7">
        <item x="2"/>
        <item x="4"/>
        <item x="5"/>
        <item x="0"/>
        <item x="3"/>
        <item x="1"/>
        <item t="default"/>
      </items>
    </pivotField>
    <pivotField showAll="0">
      <items count="6">
        <item x="1"/>
        <item x="0"/>
        <item x="4"/>
        <item x="3"/>
        <item x="2"/>
        <item t="default"/>
      </items>
    </pivotField>
    <pivotField axis="axisRow" showAll="0">
      <items count="5">
        <item x="0"/>
        <item x="3"/>
        <item x="2"/>
        <item x="1"/>
        <item t="default"/>
      </items>
    </pivotField>
    <pivotField showAll="0"/>
    <pivotField showAll="0"/>
    <pivotField dataField="1" showAll="0"/>
  </pivotFields>
  <rowFields count="1">
    <field x="4"/>
  </rowFields>
  <rowItems count="5">
    <i>
      <x/>
    </i>
    <i>
      <x v="1"/>
    </i>
    <i>
      <x v="2"/>
    </i>
    <i>
      <x v="3"/>
    </i>
    <i t="grand">
      <x/>
    </i>
  </rowItems>
  <colItems count="1">
    <i/>
  </colItems>
  <dataFields count="1">
    <dataField name="Sum of Total" fld="7" baseField="0" baseItem="0"/>
  </dataFields>
  <chartFormats count="10">
    <chartFormat chart="0" format="0"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4" count="1" selected="0">
            <x v="0"/>
          </reference>
        </references>
      </pivotArea>
    </chartFormat>
    <chartFormat chart="2" format="8">
      <pivotArea type="data" outline="0" fieldPosition="0">
        <references count="2">
          <reference field="4294967294" count="1" selected="0">
            <x v="0"/>
          </reference>
          <reference field="4" count="1" selected="0">
            <x v="1"/>
          </reference>
        </references>
      </pivotArea>
    </chartFormat>
    <chartFormat chart="2" format="9">
      <pivotArea type="data" outline="0" fieldPosition="0">
        <references count="2">
          <reference field="4294967294" count="1" selected="0">
            <x v="0"/>
          </reference>
          <reference field="4" count="1" selected="0">
            <x v="2"/>
          </reference>
        </references>
      </pivotArea>
    </chartFormat>
    <chartFormat chart="2" format="10">
      <pivotArea type="data" outline="0" fieldPosition="0">
        <references count="2">
          <reference field="4294967294" count="1" selected="0">
            <x v="0"/>
          </reference>
          <reference field="4" count="1" selected="0">
            <x v="3"/>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 chart="0" format="3">
      <pivotArea type="data" outline="0" fieldPosition="0">
        <references count="2">
          <reference field="4294967294" count="1" selected="0">
            <x v="0"/>
          </reference>
          <reference field="4" count="1" selected="0">
            <x v="2"/>
          </reference>
        </references>
      </pivotArea>
    </chartFormat>
    <chartFormat chart="0" format="4">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652BC62-F65A-40C9-8239-F125EAEFD2B6}" sourceName="Date">
  <pivotTables>
    <pivotTable tabId="22" name="PivotTable1"/>
    <pivotTable tabId="21" name="PivotTable1"/>
    <pivotTable tabId="23" name="PivotTable1"/>
    <pivotTable tabId="24" name="PivotTable1"/>
  </pivotTables>
  <data>
    <tabular pivotCacheId="142323152">
      <items count="10">
        <i x="0" s="1"/>
        <i x="1" s="1"/>
        <i x="2" s="1"/>
        <i x="3" s="1"/>
        <i x="4" s="1"/>
        <i x="5" s="1"/>
        <i x="6" s="1"/>
        <i x="7" s="1"/>
        <i x="8" s="1"/>
        <i x="9"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34BF6211-4611-456B-AA15-E68DD6629775}" sourceName="Product">
  <pivotTables>
    <pivotTable tabId="22" name="PivotTable1"/>
    <pivotTable tabId="21" name="PivotTable1"/>
    <pivotTable tabId="23" name="PivotTable1"/>
    <pivotTable tabId="24" name="PivotTable1"/>
  </pivotTables>
  <data>
    <tabular pivotCacheId="142323152">
      <items count="6">
        <i x="2" s="1"/>
        <i x="4" s="1"/>
        <i x="5" s="1"/>
        <i x="0" s="1"/>
        <i x="3"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65F0380C-2206-4F7C-A647-42ABB3EAA0C3}" sourceName="Name">
  <pivotTables>
    <pivotTable tabId="22" name="PivotTable1"/>
    <pivotTable tabId="21" name="PivotTable1"/>
    <pivotTable tabId="23" name="PivotTable1"/>
    <pivotTable tabId="24" name="PivotTable1"/>
  </pivotTables>
  <data>
    <tabular pivotCacheId="142323152">
      <items count="5">
        <i x="1" s="1"/>
        <i x="0" s="1"/>
        <i x="4" s="1"/>
        <i x="3"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 xr10:uid="{DDFE6A2E-2414-4DA5-B65F-CC7304726656}" sourceName="Area">
  <pivotTables>
    <pivotTable tabId="22" name="PivotTable1"/>
    <pivotTable tabId="21" name="PivotTable1"/>
    <pivotTable tabId="23" name="PivotTable1"/>
    <pivotTable tabId="24" name="PivotTable1"/>
  </pivotTables>
  <data>
    <tabular pivotCacheId="142323152">
      <items count="4">
        <i x="0" s="1"/>
        <i x="3"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1A0B4E17-578F-4A88-956C-6E35C13429CE}" cache="Slicer_Date" caption="Date" columnCount="2" style="SlicerStyleDark4" rowHeight="234950"/>
  <slicer name="Product" xr10:uid="{C002DB8F-42F4-479F-A26F-D2454AF682F6}" cache="Slicer_Product" caption="Product" columnCount="3" style="SlicerStyleDark5" rowHeight="234950"/>
  <slicer name="Name" xr10:uid="{F1C6EE6A-F8CB-4A52-8669-B7DAA721ACE3}" cache="Slicer_Name" caption="Name" columnCount="3" style="SlicerStyleDark2" rowHeight="234950"/>
  <slicer name="Area" xr10:uid="{E5D6E691-3D7C-42F6-B8F4-E850CDA263A1}" cache="Slicer_Area" caption="Area" columnCount="4" style="SlicerStyleDark6"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8BAD41-B9E0-480A-86C7-0FEFFABF7290}" name="Data" displayName="Data" ref="A2:H63" totalsRowShown="0">
  <autoFilter ref="A2:H63" xr:uid="{BD8BAD41-B9E0-480A-86C7-0FEFFABF7290}"/>
  <tableColumns count="8">
    <tableColumn id="1" xr3:uid="{53FC6CF2-B614-4DE5-8D3E-4DE8B3024281}" name="Sr. No."/>
    <tableColumn id="2" xr3:uid="{B613DAD5-C6E5-4AFF-AD65-22A2A06D1C01}" name="Date" dataDxfId="0"/>
    <tableColumn id="3" xr3:uid="{60D4D7F0-81F2-4394-9F05-9963B5D628AA}" name="Product"/>
    <tableColumn id="4" xr3:uid="{44F8A10A-2974-49AD-B91D-3A6DFECC899F}" name="Name"/>
    <tableColumn id="5" xr3:uid="{1350EB61-884E-4CAD-AA62-125B58424E93}" name="Area"/>
    <tableColumn id="6" xr3:uid="{66530826-E5BA-4FEE-96F4-F92CE324FD99}" name="Qty"/>
    <tableColumn id="7" xr3:uid="{D1B2677F-7CCB-490F-BA08-3122948E8492}" name="Cost"/>
    <tableColumn id="8" xr3:uid="{F554DF0B-903B-4F4D-95FC-C48C1EC47114}" name="Total">
      <calculatedColumnFormula>F3*G3</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abSelected="1" workbookViewId="0">
      <selection activeCell="X9" sqref="X9"/>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5CE07A-89CE-4BEE-9DEF-E94C49A4626F}">
  <sheetPr codeName="Sheet8"/>
  <dimension ref="A3:B50"/>
  <sheetViews>
    <sheetView workbookViewId="0">
      <selection activeCell="B4" sqref="B4"/>
    </sheetView>
  </sheetViews>
  <sheetFormatPr defaultRowHeight="14.4" x14ac:dyDescent="0.3"/>
  <cols>
    <col min="1" max="1" width="15" bestFit="1" customWidth="1"/>
    <col min="2" max="2" width="11.6640625" bestFit="1" customWidth="1"/>
  </cols>
  <sheetData>
    <row r="3" spans="1:2" x14ac:dyDescent="0.3">
      <c r="A3" s="11" t="s">
        <v>40</v>
      </c>
      <c r="B3" t="s">
        <v>42</v>
      </c>
    </row>
    <row r="4" spans="1:2" x14ac:dyDescent="0.3">
      <c r="A4" s="12" t="s">
        <v>12</v>
      </c>
      <c r="B4" s="13">
        <v>431414</v>
      </c>
    </row>
    <row r="5" spans="1:2" x14ac:dyDescent="0.3">
      <c r="A5" s="15">
        <v>40180</v>
      </c>
      <c r="B5" s="13">
        <v>72165</v>
      </c>
    </row>
    <row r="6" spans="1:2" x14ac:dyDescent="0.3">
      <c r="A6" s="15">
        <v>40181</v>
      </c>
      <c r="B6" s="13">
        <v>53449</v>
      </c>
    </row>
    <row r="7" spans="1:2" x14ac:dyDescent="0.3">
      <c r="A7" s="15">
        <v>40182</v>
      </c>
      <c r="B7" s="13">
        <v>29068</v>
      </c>
    </row>
    <row r="8" spans="1:2" x14ac:dyDescent="0.3">
      <c r="A8" s="15">
        <v>40185</v>
      </c>
      <c r="B8" s="13">
        <v>100608</v>
      </c>
    </row>
    <row r="9" spans="1:2" x14ac:dyDescent="0.3">
      <c r="A9" s="15">
        <v>40186</v>
      </c>
      <c r="B9" s="13">
        <v>79956</v>
      </c>
    </row>
    <row r="10" spans="1:2" x14ac:dyDescent="0.3">
      <c r="A10" s="15">
        <v>40187</v>
      </c>
      <c r="B10" s="13">
        <v>96168</v>
      </c>
    </row>
    <row r="11" spans="1:2" x14ac:dyDescent="0.3">
      <c r="A11" s="12" t="s">
        <v>14</v>
      </c>
      <c r="B11" s="13">
        <v>293060</v>
      </c>
    </row>
    <row r="12" spans="1:2" x14ac:dyDescent="0.3">
      <c r="A12" s="15">
        <v>40180</v>
      </c>
      <c r="B12" s="13">
        <v>68562</v>
      </c>
    </row>
    <row r="13" spans="1:2" x14ac:dyDescent="0.3">
      <c r="A13" s="15">
        <v>40183</v>
      </c>
      <c r="B13" s="13">
        <v>66164</v>
      </c>
    </row>
    <row r="14" spans="1:2" x14ac:dyDescent="0.3">
      <c r="A14" s="15">
        <v>40185</v>
      </c>
      <c r="B14" s="13">
        <v>75930</v>
      </c>
    </row>
    <row r="15" spans="1:2" x14ac:dyDescent="0.3">
      <c r="A15" s="15">
        <v>40188</v>
      </c>
      <c r="B15" s="13">
        <v>82404</v>
      </c>
    </row>
    <row r="16" spans="1:2" x14ac:dyDescent="0.3">
      <c r="A16" s="12" t="s">
        <v>13</v>
      </c>
      <c r="B16" s="13">
        <v>242798</v>
      </c>
    </row>
    <row r="17" spans="1:2" x14ac:dyDescent="0.3">
      <c r="A17" s="15">
        <v>40179</v>
      </c>
      <c r="B17" s="13">
        <v>16350</v>
      </c>
    </row>
    <row r="18" spans="1:2" x14ac:dyDescent="0.3">
      <c r="A18" s="15">
        <v>40181</v>
      </c>
      <c r="B18" s="13">
        <v>24320</v>
      </c>
    </row>
    <row r="19" spans="1:2" x14ac:dyDescent="0.3">
      <c r="A19" s="15">
        <v>40182</v>
      </c>
      <c r="B19" s="13">
        <v>14286</v>
      </c>
    </row>
    <row r="20" spans="1:2" x14ac:dyDescent="0.3">
      <c r="A20" s="15">
        <v>40183</v>
      </c>
      <c r="B20" s="13">
        <v>45690</v>
      </c>
    </row>
    <row r="21" spans="1:2" x14ac:dyDescent="0.3">
      <c r="A21" s="15">
        <v>40184</v>
      </c>
      <c r="B21" s="13">
        <v>31760</v>
      </c>
    </row>
    <row r="22" spans="1:2" x14ac:dyDescent="0.3">
      <c r="A22" s="15">
        <v>40186</v>
      </c>
      <c r="B22" s="13">
        <v>19172</v>
      </c>
    </row>
    <row r="23" spans="1:2" x14ac:dyDescent="0.3">
      <c r="A23" s="15">
        <v>40187</v>
      </c>
      <c r="B23" s="13">
        <v>22040</v>
      </c>
    </row>
    <row r="24" spans="1:2" x14ac:dyDescent="0.3">
      <c r="A24" s="15">
        <v>40188</v>
      </c>
      <c r="B24" s="13">
        <v>69180</v>
      </c>
    </row>
    <row r="25" spans="1:2" x14ac:dyDescent="0.3">
      <c r="A25" s="12" t="s">
        <v>10</v>
      </c>
      <c r="B25" s="13">
        <v>443684</v>
      </c>
    </row>
    <row r="26" spans="1:2" x14ac:dyDescent="0.3">
      <c r="A26" s="15">
        <v>40179</v>
      </c>
      <c r="B26" s="13">
        <v>35120</v>
      </c>
    </row>
    <row r="27" spans="1:2" x14ac:dyDescent="0.3">
      <c r="A27" s="15">
        <v>40180</v>
      </c>
      <c r="B27" s="13">
        <v>35386</v>
      </c>
    </row>
    <row r="28" spans="1:2" x14ac:dyDescent="0.3">
      <c r="A28" s="15">
        <v>40181</v>
      </c>
      <c r="B28" s="13">
        <v>63792</v>
      </c>
    </row>
    <row r="29" spans="1:2" x14ac:dyDescent="0.3">
      <c r="A29" s="15">
        <v>40184</v>
      </c>
      <c r="B29" s="13">
        <v>102080</v>
      </c>
    </row>
    <row r="30" spans="1:2" x14ac:dyDescent="0.3">
      <c r="A30" s="15">
        <v>40185</v>
      </c>
      <c r="B30" s="13">
        <v>84690</v>
      </c>
    </row>
    <row r="31" spans="1:2" x14ac:dyDescent="0.3">
      <c r="A31" s="15">
        <v>40186</v>
      </c>
      <c r="B31" s="13">
        <v>122616</v>
      </c>
    </row>
    <row r="32" spans="1:2" x14ac:dyDescent="0.3">
      <c r="A32" s="12" t="s">
        <v>11</v>
      </c>
      <c r="B32" s="13">
        <v>717534</v>
      </c>
    </row>
    <row r="33" spans="1:2" x14ac:dyDescent="0.3">
      <c r="A33" s="15">
        <v>40179</v>
      </c>
      <c r="B33" s="13">
        <v>40570</v>
      </c>
    </row>
    <row r="34" spans="1:2" x14ac:dyDescent="0.3">
      <c r="A34" s="15">
        <v>40181</v>
      </c>
      <c r="B34" s="13">
        <v>52200</v>
      </c>
    </row>
    <row r="35" spans="1:2" x14ac:dyDescent="0.3">
      <c r="A35" s="15">
        <v>40182</v>
      </c>
      <c r="B35" s="13">
        <v>32880</v>
      </c>
    </row>
    <row r="36" spans="1:2" x14ac:dyDescent="0.3">
      <c r="A36" s="15">
        <v>40183</v>
      </c>
      <c r="B36" s="13">
        <v>70060</v>
      </c>
    </row>
    <row r="37" spans="1:2" x14ac:dyDescent="0.3">
      <c r="A37" s="15">
        <v>40184</v>
      </c>
      <c r="B37" s="13">
        <v>147168</v>
      </c>
    </row>
    <row r="38" spans="1:2" x14ac:dyDescent="0.3">
      <c r="A38" s="15">
        <v>40186</v>
      </c>
      <c r="B38" s="13">
        <v>113496</v>
      </c>
    </row>
    <row r="39" spans="1:2" x14ac:dyDescent="0.3">
      <c r="A39" s="15">
        <v>40187</v>
      </c>
      <c r="B39" s="13">
        <v>110572</v>
      </c>
    </row>
    <row r="40" spans="1:2" x14ac:dyDescent="0.3">
      <c r="A40" s="15">
        <v>40188</v>
      </c>
      <c r="B40" s="13">
        <v>150588</v>
      </c>
    </row>
    <row r="41" spans="1:2" x14ac:dyDescent="0.3">
      <c r="A41" s="12" t="s">
        <v>8</v>
      </c>
      <c r="B41" s="13">
        <v>498272</v>
      </c>
    </row>
    <row r="42" spans="1:2" x14ac:dyDescent="0.3">
      <c r="A42" s="15">
        <v>40179</v>
      </c>
      <c r="B42" s="13">
        <v>45696</v>
      </c>
    </row>
    <row r="43" spans="1:2" x14ac:dyDescent="0.3">
      <c r="A43" s="15">
        <v>40180</v>
      </c>
      <c r="B43" s="13">
        <v>63536</v>
      </c>
    </row>
    <row r="44" spans="1:2" x14ac:dyDescent="0.3">
      <c r="A44" s="15">
        <v>40182</v>
      </c>
      <c r="B44" s="13">
        <v>23460</v>
      </c>
    </row>
    <row r="45" spans="1:2" x14ac:dyDescent="0.3">
      <c r="A45" s="15">
        <v>40183</v>
      </c>
      <c r="B45" s="13">
        <v>39624</v>
      </c>
    </row>
    <row r="46" spans="1:2" x14ac:dyDescent="0.3">
      <c r="A46" s="15">
        <v>40184</v>
      </c>
      <c r="B46" s="13">
        <v>83204</v>
      </c>
    </row>
    <row r="47" spans="1:2" x14ac:dyDescent="0.3">
      <c r="A47" s="15">
        <v>40185</v>
      </c>
      <c r="B47" s="13">
        <v>147520</v>
      </c>
    </row>
    <row r="48" spans="1:2" x14ac:dyDescent="0.3">
      <c r="A48" s="15">
        <v>40187</v>
      </c>
      <c r="B48" s="13">
        <v>61732</v>
      </c>
    </row>
    <row r="49" spans="1:2" x14ac:dyDescent="0.3">
      <c r="A49" s="15">
        <v>40188</v>
      </c>
      <c r="B49" s="13">
        <v>33500</v>
      </c>
    </row>
    <row r="50" spans="1:2" x14ac:dyDescent="0.3">
      <c r="A50" s="12" t="s">
        <v>41</v>
      </c>
      <c r="B50" s="13">
        <v>2626762</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322B9-9BF0-48EF-89F7-67CA6D01E68F}">
  <sheetPr codeName="Sheet9"/>
  <dimension ref="A3:B27"/>
  <sheetViews>
    <sheetView topLeftCell="A7" workbookViewId="0">
      <selection activeCell="B3" sqref="B3"/>
    </sheetView>
  </sheetViews>
  <sheetFormatPr defaultRowHeight="14.4" x14ac:dyDescent="0.3"/>
  <cols>
    <col min="1" max="1" width="12.5546875" bestFit="1" customWidth="1"/>
    <col min="2" max="2" width="10.44140625" bestFit="1" customWidth="1"/>
  </cols>
  <sheetData>
    <row r="3" spans="1:2" x14ac:dyDescent="0.3">
      <c r="A3" s="11" t="s">
        <v>40</v>
      </c>
      <c r="B3" t="s">
        <v>43</v>
      </c>
    </row>
    <row r="4" spans="1:2" x14ac:dyDescent="0.3">
      <c r="A4" s="12" t="s">
        <v>12</v>
      </c>
      <c r="B4" s="13">
        <v>125</v>
      </c>
    </row>
    <row r="5" spans="1:2" x14ac:dyDescent="0.3">
      <c r="A5" s="14" t="s">
        <v>9</v>
      </c>
      <c r="B5" s="13">
        <v>47</v>
      </c>
    </row>
    <row r="6" spans="1:2" x14ac:dyDescent="0.3">
      <c r="A6" s="14" t="s">
        <v>22</v>
      </c>
      <c r="B6" s="13">
        <v>41</v>
      </c>
    </row>
    <row r="7" spans="1:2" x14ac:dyDescent="0.3">
      <c r="A7" s="14" t="s">
        <v>20</v>
      </c>
      <c r="B7" s="13">
        <v>37</v>
      </c>
    </row>
    <row r="8" spans="1:2" x14ac:dyDescent="0.3">
      <c r="A8" s="12" t="s">
        <v>14</v>
      </c>
      <c r="B8" s="13">
        <v>93</v>
      </c>
    </row>
    <row r="9" spans="1:2" x14ac:dyDescent="0.3">
      <c r="A9" s="14" t="s">
        <v>9</v>
      </c>
      <c r="B9" s="13">
        <v>45</v>
      </c>
    </row>
    <row r="10" spans="1:2" x14ac:dyDescent="0.3">
      <c r="A10" s="14" t="s">
        <v>21</v>
      </c>
      <c r="B10" s="13">
        <v>48</v>
      </c>
    </row>
    <row r="11" spans="1:2" x14ac:dyDescent="0.3">
      <c r="A11" s="12" t="s">
        <v>13</v>
      </c>
      <c r="B11" s="13">
        <v>70</v>
      </c>
    </row>
    <row r="12" spans="1:2" x14ac:dyDescent="0.3">
      <c r="A12" s="14" t="s">
        <v>22</v>
      </c>
      <c r="B12" s="13">
        <v>40</v>
      </c>
    </row>
    <row r="13" spans="1:2" x14ac:dyDescent="0.3">
      <c r="A13" s="14" t="s">
        <v>20</v>
      </c>
      <c r="B13" s="13">
        <v>30</v>
      </c>
    </row>
    <row r="14" spans="1:2" x14ac:dyDescent="0.3">
      <c r="A14" s="12" t="s">
        <v>10</v>
      </c>
      <c r="B14" s="13">
        <v>123</v>
      </c>
    </row>
    <row r="15" spans="1:2" x14ac:dyDescent="0.3">
      <c r="A15" s="14" t="s">
        <v>9</v>
      </c>
      <c r="B15" s="13">
        <v>38</v>
      </c>
    </row>
    <row r="16" spans="1:2" x14ac:dyDescent="0.3">
      <c r="A16" s="14" t="s">
        <v>21</v>
      </c>
      <c r="B16" s="13">
        <v>42</v>
      </c>
    </row>
    <row r="17" spans="1:2" x14ac:dyDescent="0.3">
      <c r="A17" s="14" t="s">
        <v>20</v>
      </c>
      <c r="B17" s="13">
        <v>43</v>
      </c>
    </row>
    <row r="18" spans="1:2" x14ac:dyDescent="0.3">
      <c r="A18" s="12" t="s">
        <v>11</v>
      </c>
      <c r="B18" s="13">
        <v>188</v>
      </c>
    </row>
    <row r="19" spans="1:2" x14ac:dyDescent="0.3">
      <c r="A19" s="14" t="s">
        <v>9</v>
      </c>
      <c r="B19" s="13">
        <v>44</v>
      </c>
    </row>
    <row r="20" spans="1:2" x14ac:dyDescent="0.3">
      <c r="A20" s="14" t="s">
        <v>22</v>
      </c>
      <c r="B20" s="13">
        <v>56</v>
      </c>
    </row>
    <row r="21" spans="1:2" x14ac:dyDescent="0.3">
      <c r="A21" s="14" t="s">
        <v>21</v>
      </c>
      <c r="B21" s="13">
        <v>46</v>
      </c>
    </row>
    <row r="22" spans="1:2" x14ac:dyDescent="0.3">
      <c r="A22" s="14" t="s">
        <v>20</v>
      </c>
      <c r="B22" s="13">
        <v>42</v>
      </c>
    </row>
    <row r="23" spans="1:2" x14ac:dyDescent="0.3">
      <c r="A23" s="12" t="s">
        <v>8</v>
      </c>
      <c r="B23" s="13">
        <v>136</v>
      </c>
    </row>
    <row r="24" spans="1:2" x14ac:dyDescent="0.3">
      <c r="A24" s="14" t="s">
        <v>9</v>
      </c>
      <c r="B24" s="13">
        <v>48</v>
      </c>
    </row>
    <row r="25" spans="1:2" x14ac:dyDescent="0.3">
      <c r="A25" s="14" t="s">
        <v>21</v>
      </c>
      <c r="B25" s="13">
        <v>50</v>
      </c>
    </row>
    <row r="26" spans="1:2" x14ac:dyDescent="0.3">
      <c r="A26" s="14" t="s">
        <v>20</v>
      </c>
      <c r="B26" s="13">
        <v>38</v>
      </c>
    </row>
    <row r="27" spans="1:2" x14ac:dyDescent="0.3">
      <c r="A27" s="12" t="s">
        <v>41</v>
      </c>
      <c r="B27" s="13">
        <v>735</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AC181-5AE6-47D5-9254-9E0C52F58325}">
  <sheetPr codeName="Sheet10"/>
  <dimension ref="A3:B10"/>
  <sheetViews>
    <sheetView workbookViewId="0">
      <selection activeCell="K4" sqref="K4"/>
    </sheetView>
  </sheetViews>
  <sheetFormatPr defaultRowHeight="14.4" x14ac:dyDescent="0.3"/>
  <cols>
    <col min="1" max="1" width="12.5546875" bestFit="1" customWidth="1"/>
    <col min="2" max="2" width="11.6640625" bestFit="1" customWidth="1"/>
  </cols>
  <sheetData>
    <row r="3" spans="1:2" x14ac:dyDescent="0.3">
      <c r="A3" s="11" t="s">
        <v>40</v>
      </c>
      <c r="B3" t="s">
        <v>42</v>
      </c>
    </row>
    <row r="4" spans="1:2" x14ac:dyDescent="0.3">
      <c r="A4" s="12" t="s">
        <v>12</v>
      </c>
      <c r="B4" s="13">
        <v>431414</v>
      </c>
    </row>
    <row r="5" spans="1:2" x14ac:dyDescent="0.3">
      <c r="A5" s="12" t="s">
        <v>14</v>
      </c>
      <c r="B5" s="13">
        <v>293060</v>
      </c>
    </row>
    <row r="6" spans="1:2" x14ac:dyDescent="0.3">
      <c r="A6" s="12" t="s">
        <v>13</v>
      </c>
      <c r="B6" s="13">
        <v>242798</v>
      </c>
    </row>
    <row r="7" spans="1:2" x14ac:dyDescent="0.3">
      <c r="A7" s="12" t="s">
        <v>10</v>
      </c>
      <c r="B7" s="13">
        <v>443684</v>
      </c>
    </row>
    <row r="8" spans="1:2" x14ac:dyDescent="0.3">
      <c r="A8" s="12" t="s">
        <v>11</v>
      </c>
      <c r="B8" s="13">
        <v>717534</v>
      </c>
    </row>
    <row r="9" spans="1:2" x14ac:dyDescent="0.3">
      <c r="A9" s="12" t="s">
        <v>8</v>
      </c>
      <c r="B9" s="13">
        <v>498272</v>
      </c>
    </row>
    <row r="10" spans="1:2" x14ac:dyDescent="0.3">
      <c r="A10" s="12" t="s">
        <v>41</v>
      </c>
      <c r="B10" s="13">
        <v>2626762</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118C7-D548-4471-9C14-6C8A6FDDF383}">
  <sheetPr codeName="Sheet11"/>
  <dimension ref="A3:B8"/>
  <sheetViews>
    <sheetView workbookViewId="0">
      <selection activeCell="A3" sqref="A3"/>
    </sheetView>
  </sheetViews>
  <sheetFormatPr defaultRowHeight="14.4" x14ac:dyDescent="0.3"/>
  <cols>
    <col min="1" max="1" width="12.5546875" bestFit="1" customWidth="1"/>
    <col min="2" max="2" width="11.6640625" bestFit="1" customWidth="1"/>
  </cols>
  <sheetData>
    <row r="3" spans="1:2" x14ac:dyDescent="0.3">
      <c r="A3" s="11" t="s">
        <v>40</v>
      </c>
      <c r="B3" t="s">
        <v>42</v>
      </c>
    </row>
    <row r="4" spans="1:2" x14ac:dyDescent="0.3">
      <c r="A4" s="12" t="s">
        <v>9</v>
      </c>
      <c r="B4" s="13">
        <v>773681</v>
      </c>
    </row>
    <row r="5" spans="1:2" x14ac:dyDescent="0.3">
      <c r="A5" s="12" t="s">
        <v>22</v>
      </c>
      <c r="B5" s="13">
        <v>521349</v>
      </c>
    </row>
    <row r="6" spans="1:2" x14ac:dyDescent="0.3">
      <c r="A6" s="12" t="s">
        <v>21</v>
      </c>
      <c r="B6" s="13">
        <v>676954</v>
      </c>
    </row>
    <row r="7" spans="1:2" x14ac:dyDescent="0.3">
      <c r="A7" s="12" t="s">
        <v>20</v>
      </c>
      <c r="B7" s="13">
        <v>654778</v>
      </c>
    </row>
    <row r="8" spans="1:2" x14ac:dyDescent="0.3">
      <c r="A8" s="12" t="s">
        <v>41</v>
      </c>
      <c r="B8" s="13">
        <v>2626762</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H63"/>
  <sheetViews>
    <sheetView topLeftCell="A3" workbookViewId="0">
      <selection activeCell="I9" sqref="I9"/>
    </sheetView>
  </sheetViews>
  <sheetFormatPr defaultRowHeight="14.4" x14ac:dyDescent="0.3"/>
  <cols>
    <col min="2" max="2" width="11.33203125" bestFit="1" customWidth="1"/>
    <col min="3" max="3" width="10" customWidth="1"/>
  </cols>
  <sheetData>
    <row r="2" spans="1:8" x14ac:dyDescent="0.3">
      <c r="A2" t="s">
        <v>7</v>
      </c>
      <c r="B2" t="s">
        <v>0</v>
      </c>
      <c r="C2" t="s">
        <v>1</v>
      </c>
      <c r="D2" t="s">
        <v>2</v>
      </c>
      <c r="E2" t="s">
        <v>3</v>
      </c>
      <c r="F2" t="s">
        <v>4</v>
      </c>
      <c r="G2" t="s">
        <v>5</v>
      </c>
      <c r="H2" t="s">
        <v>6</v>
      </c>
    </row>
    <row r="3" spans="1:8" x14ac:dyDescent="0.3">
      <c r="A3">
        <v>1</v>
      </c>
      <c r="B3" s="3">
        <v>40179</v>
      </c>
      <c r="C3" t="s">
        <v>10</v>
      </c>
      <c r="D3" t="s">
        <v>15</v>
      </c>
      <c r="E3" t="s">
        <v>9</v>
      </c>
      <c r="F3">
        <v>16</v>
      </c>
      <c r="G3">
        <v>2195</v>
      </c>
      <c r="H3">
        <f>F3*G3</f>
        <v>35120</v>
      </c>
    </row>
    <row r="4" spans="1:8" x14ac:dyDescent="0.3">
      <c r="A4">
        <v>2</v>
      </c>
      <c r="B4" s="3">
        <v>40180</v>
      </c>
      <c r="C4" t="s">
        <v>8</v>
      </c>
      <c r="D4" t="s">
        <v>16</v>
      </c>
      <c r="E4" t="s">
        <v>9</v>
      </c>
      <c r="F4">
        <v>16</v>
      </c>
      <c r="G4">
        <v>3971</v>
      </c>
      <c r="H4">
        <f t="shared" ref="H4:H17" si="0">F4*G4</f>
        <v>63536</v>
      </c>
    </row>
    <row r="5" spans="1:8" x14ac:dyDescent="0.3">
      <c r="A5">
        <v>3</v>
      </c>
      <c r="B5" s="3">
        <v>40181</v>
      </c>
      <c r="C5" t="s">
        <v>12</v>
      </c>
      <c r="D5" t="s">
        <v>17</v>
      </c>
      <c r="E5" t="s">
        <v>9</v>
      </c>
      <c r="F5">
        <v>11</v>
      </c>
      <c r="G5">
        <v>4859</v>
      </c>
      <c r="H5">
        <f t="shared" si="0"/>
        <v>53449</v>
      </c>
    </row>
    <row r="6" spans="1:8" x14ac:dyDescent="0.3">
      <c r="A6">
        <v>4</v>
      </c>
      <c r="B6" s="3">
        <v>40182</v>
      </c>
      <c r="C6" t="s">
        <v>11</v>
      </c>
      <c r="D6" t="s">
        <v>18</v>
      </c>
      <c r="E6" t="s">
        <v>9</v>
      </c>
      <c r="F6">
        <v>16</v>
      </c>
      <c r="G6">
        <v>2055</v>
      </c>
      <c r="H6">
        <f t="shared" si="0"/>
        <v>32880</v>
      </c>
    </row>
    <row r="7" spans="1:8" x14ac:dyDescent="0.3">
      <c r="A7">
        <v>5</v>
      </c>
      <c r="B7" s="3">
        <v>40183</v>
      </c>
      <c r="C7" t="s">
        <v>14</v>
      </c>
      <c r="D7" t="s">
        <v>19</v>
      </c>
      <c r="E7" t="s">
        <v>9</v>
      </c>
      <c r="F7">
        <v>17</v>
      </c>
      <c r="G7">
        <v>3892</v>
      </c>
      <c r="H7">
        <f t="shared" si="0"/>
        <v>66164</v>
      </c>
    </row>
    <row r="8" spans="1:8" x14ac:dyDescent="0.3">
      <c r="A8">
        <v>6</v>
      </c>
      <c r="B8" s="3">
        <v>40184</v>
      </c>
      <c r="C8" t="s">
        <v>10</v>
      </c>
      <c r="D8" t="s">
        <v>15</v>
      </c>
      <c r="E8" t="s">
        <v>9</v>
      </c>
      <c r="F8">
        <v>11</v>
      </c>
      <c r="G8">
        <v>4640</v>
      </c>
      <c r="H8">
        <f t="shared" si="0"/>
        <v>51040</v>
      </c>
    </row>
    <row r="9" spans="1:8" x14ac:dyDescent="0.3">
      <c r="A9">
        <v>7</v>
      </c>
      <c r="B9" s="3">
        <v>40185</v>
      </c>
      <c r="C9" t="s">
        <v>8</v>
      </c>
      <c r="D9" t="s">
        <v>16</v>
      </c>
      <c r="E9" t="s">
        <v>9</v>
      </c>
      <c r="F9">
        <v>16</v>
      </c>
      <c r="G9">
        <v>4610</v>
      </c>
      <c r="H9">
        <f t="shared" si="0"/>
        <v>73760</v>
      </c>
    </row>
    <row r="10" spans="1:8" x14ac:dyDescent="0.3">
      <c r="A10">
        <v>8</v>
      </c>
      <c r="B10" s="3">
        <v>40186</v>
      </c>
      <c r="C10" t="s">
        <v>12</v>
      </c>
      <c r="D10" t="s">
        <v>17</v>
      </c>
      <c r="E10" t="s">
        <v>9</v>
      </c>
      <c r="F10">
        <v>18</v>
      </c>
      <c r="G10">
        <v>2221</v>
      </c>
      <c r="H10">
        <f t="shared" si="0"/>
        <v>39978</v>
      </c>
    </row>
    <row r="11" spans="1:8" x14ac:dyDescent="0.3">
      <c r="A11">
        <v>9</v>
      </c>
      <c r="B11" s="3">
        <v>40187</v>
      </c>
      <c r="C11" t="s">
        <v>11</v>
      </c>
      <c r="D11" t="s">
        <v>18</v>
      </c>
      <c r="E11" t="s">
        <v>9</v>
      </c>
      <c r="F11">
        <v>14</v>
      </c>
      <c r="G11">
        <v>3949</v>
      </c>
      <c r="H11">
        <f t="shared" si="0"/>
        <v>55286</v>
      </c>
    </row>
    <row r="12" spans="1:8" x14ac:dyDescent="0.3">
      <c r="A12">
        <v>10</v>
      </c>
      <c r="B12" s="3">
        <v>40188</v>
      </c>
      <c r="C12" t="s">
        <v>14</v>
      </c>
      <c r="D12" t="s">
        <v>19</v>
      </c>
      <c r="E12" t="s">
        <v>9</v>
      </c>
      <c r="F12">
        <v>14</v>
      </c>
      <c r="G12">
        <v>2943</v>
      </c>
      <c r="H12">
        <f t="shared" si="0"/>
        <v>41202</v>
      </c>
    </row>
    <row r="13" spans="1:8" x14ac:dyDescent="0.3">
      <c r="A13">
        <v>11</v>
      </c>
      <c r="B13" s="3">
        <v>40184</v>
      </c>
      <c r="C13" t="s">
        <v>10</v>
      </c>
      <c r="D13" t="s">
        <v>15</v>
      </c>
      <c r="E13" t="s">
        <v>9</v>
      </c>
      <c r="F13">
        <v>11</v>
      </c>
      <c r="G13">
        <v>4640</v>
      </c>
      <c r="H13">
        <f t="shared" si="0"/>
        <v>51040</v>
      </c>
    </row>
    <row r="14" spans="1:8" x14ac:dyDescent="0.3">
      <c r="A14">
        <v>12</v>
      </c>
      <c r="B14" s="3">
        <v>40185</v>
      </c>
      <c r="C14" t="s">
        <v>8</v>
      </c>
      <c r="D14" t="s">
        <v>16</v>
      </c>
      <c r="E14" t="s">
        <v>9</v>
      </c>
      <c r="F14">
        <v>16</v>
      </c>
      <c r="G14">
        <v>4610</v>
      </c>
      <c r="H14">
        <f t="shared" si="0"/>
        <v>73760</v>
      </c>
    </row>
    <row r="15" spans="1:8" x14ac:dyDescent="0.3">
      <c r="A15">
        <v>13</v>
      </c>
      <c r="B15" s="3">
        <v>40186</v>
      </c>
      <c r="C15" t="s">
        <v>12</v>
      </c>
      <c r="D15" t="s">
        <v>17</v>
      </c>
      <c r="E15" t="s">
        <v>9</v>
      </c>
      <c r="F15">
        <v>18</v>
      </c>
      <c r="G15">
        <v>2221</v>
      </c>
      <c r="H15">
        <f t="shared" si="0"/>
        <v>39978</v>
      </c>
    </row>
    <row r="16" spans="1:8" x14ac:dyDescent="0.3">
      <c r="A16">
        <v>14</v>
      </c>
      <c r="B16" s="3">
        <v>40187</v>
      </c>
      <c r="C16" t="s">
        <v>11</v>
      </c>
      <c r="D16" t="s">
        <v>18</v>
      </c>
      <c r="E16" t="s">
        <v>9</v>
      </c>
      <c r="F16">
        <v>14</v>
      </c>
      <c r="G16">
        <v>3949</v>
      </c>
      <c r="H16">
        <f t="shared" si="0"/>
        <v>55286</v>
      </c>
    </row>
    <row r="17" spans="1:8" x14ac:dyDescent="0.3">
      <c r="A17">
        <v>15</v>
      </c>
      <c r="B17" s="3">
        <v>40188</v>
      </c>
      <c r="C17" t="s">
        <v>14</v>
      </c>
      <c r="D17" t="s">
        <v>19</v>
      </c>
      <c r="E17" t="s">
        <v>9</v>
      </c>
      <c r="F17">
        <v>14</v>
      </c>
      <c r="G17">
        <v>2943</v>
      </c>
      <c r="H17">
        <f t="shared" si="0"/>
        <v>41202</v>
      </c>
    </row>
    <row r="18" spans="1:8" x14ac:dyDescent="0.3">
      <c r="A18">
        <v>16</v>
      </c>
      <c r="B18" s="3">
        <v>40179</v>
      </c>
      <c r="C18" t="s">
        <v>8</v>
      </c>
      <c r="D18" t="s">
        <v>15</v>
      </c>
      <c r="E18" t="s">
        <v>20</v>
      </c>
      <c r="F18">
        <v>16</v>
      </c>
      <c r="G18">
        <v>2856</v>
      </c>
      <c r="H18">
        <f>F18*G18</f>
        <v>45696</v>
      </c>
    </row>
    <row r="19" spans="1:8" x14ac:dyDescent="0.3">
      <c r="A19">
        <v>17</v>
      </c>
      <c r="B19" s="3">
        <v>40180</v>
      </c>
      <c r="C19" t="s">
        <v>10</v>
      </c>
      <c r="D19" t="s">
        <v>16</v>
      </c>
      <c r="E19" t="s">
        <v>20</v>
      </c>
      <c r="F19">
        <v>13</v>
      </c>
      <c r="G19">
        <v>2722</v>
      </c>
      <c r="H19">
        <f t="shared" ref="H19:H32" si="1">F19*G19</f>
        <v>35386</v>
      </c>
    </row>
    <row r="20" spans="1:8" x14ac:dyDescent="0.3">
      <c r="A20">
        <v>18</v>
      </c>
      <c r="B20" s="3">
        <v>40181</v>
      </c>
      <c r="C20" t="s">
        <v>11</v>
      </c>
      <c r="D20" t="s">
        <v>17</v>
      </c>
      <c r="E20" t="s">
        <v>20</v>
      </c>
      <c r="F20">
        <v>18</v>
      </c>
      <c r="G20">
        <v>2900</v>
      </c>
      <c r="H20">
        <f t="shared" si="1"/>
        <v>52200</v>
      </c>
    </row>
    <row r="21" spans="1:8" x14ac:dyDescent="0.3">
      <c r="A21">
        <v>19</v>
      </c>
      <c r="B21" s="3">
        <v>40182</v>
      </c>
      <c r="C21" t="s">
        <v>12</v>
      </c>
      <c r="D21" t="s">
        <v>18</v>
      </c>
      <c r="E21" t="s">
        <v>20</v>
      </c>
      <c r="F21">
        <v>13</v>
      </c>
      <c r="G21">
        <v>2236</v>
      </c>
      <c r="H21">
        <f t="shared" si="1"/>
        <v>29068</v>
      </c>
    </row>
    <row r="22" spans="1:8" x14ac:dyDescent="0.3">
      <c r="A22">
        <v>20</v>
      </c>
      <c r="B22" s="3">
        <v>40183</v>
      </c>
      <c r="C22" t="s">
        <v>13</v>
      </c>
      <c r="D22" t="s">
        <v>19</v>
      </c>
      <c r="E22" t="s">
        <v>20</v>
      </c>
      <c r="F22">
        <v>10</v>
      </c>
      <c r="G22">
        <v>4569</v>
      </c>
      <c r="H22">
        <f t="shared" si="1"/>
        <v>45690</v>
      </c>
    </row>
    <row r="23" spans="1:8" x14ac:dyDescent="0.3">
      <c r="A23">
        <v>21</v>
      </c>
      <c r="B23" s="3">
        <v>40184</v>
      </c>
      <c r="C23" t="s">
        <v>8</v>
      </c>
      <c r="D23" t="s">
        <v>15</v>
      </c>
      <c r="E23" t="s">
        <v>20</v>
      </c>
      <c r="F23">
        <v>11</v>
      </c>
      <c r="G23">
        <v>3782</v>
      </c>
      <c r="H23">
        <f t="shared" si="1"/>
        <v>41602</v>
      </c>
    </row>
    <row r="24" spans="1:8" x14ac:dyDescent="0.3">
      <c r="A24">
        <v>22</v>
      </c>
      <c r="B24" s="3">
        <v>40185</v>
      </c>
      <c r="C24" t="s">
        <v>10</v>
      </c>
      <c r="D24" t="s">
        <v>16</v>
      </c>
      <c r="E24" t="s">
        <v>20</v>
      </c>
      <c r="F24">
        <v>15</v>
      </c>
      <c r="G24">
        <v>2823</v>
      </c>
      <c r="H24">
        <f t="shared" si="1"/>
        <v>42345</v>
      </c>
    </row>
    <row r="25" spans="1:8" x14ac:dyDescent="0.3">
      <c r="A25">
        <v>23</v>
      </c>
      <c r="B25" s="3">
        <v>40186</v>
      </c>
      <c r="C25" t="s">
        <v>11</v>
      </c>
      <c r="D25" t="s">
        <v>17</v>
      </c>
      <c r="E25" t="s">
        <v>20</v>
      </c>
      <c r="F25">
        <v>12</v>
      </c>
      <c r="G25">
        <v>4729</v>
      </c>
      <c r="H25">
        <f t="shared" si="1"/>
        <v>56748</v>
      </c>
    </row>
    <row r="26" spans="1:8" x14ac:dyDescent="0.3">
      <c r="A26">
        <v>24</v>
      </c>
      <c r="B26" s="3">
        <v>40187</v>
      </c>
      <c r="C26" t="s">
        <v>12</v>
      </c>
      <c r="D26" t="s">
        <v>18</v>
      </c>
      <c r="E26" t="s">
        <v>20</v>
      </c>
      <c r="F26">
        <v>12</v>
      </c>
      <c r="G26">
        <v>4007</v>
      </c>
      <c r="H26">
        <f t="shared" si="1"/>
        <v>48084</v>
      </c>
    </row>
    <row r="27" spans="1:8" x14ac:dyDescent="0.3">
      <c r="A27">
        <v>25</v>
      </c>
      <c r="B27" s="3">
        <v>40188</v>
      </c>
      <c r="C27" t="s">
        <v>13</v>
      </c>
      <c r="D27" t="s">
        <v>19</v>
      </c>
      <c r="E27" t="s">
        <v>20</v>
      </c>
      <c r="F27">
        <v>10</v>
      </c>
      <c r="G27">
        <v>3459</v>
      </c>
      <c r="H27">
        <f t="shared" si="1"/>
        <v>34590</v>
      </c>
    </row>
    <row r="28" spans="1:8" x14ac:dyDescent="0.3">
      <c r="A28">
        <v>26</v>
      </c>
      <c r="B28" s="3">
        <v>40184</v>
      </c>
      <c r="C28" t="s">
        <v>8</v>
      </c>
      <c r="D28" t="s">
        <v>15</v>
      </c>
      <c r="E28" t="s">
        <v>20</v>
      </c>
      <c r="F28">
        <v>11</v>
      </c>
      <c r="G28">
        <v>3782</v>
      </c>
      <c r="H28">
        <f t="shared" si="1"/>
        <v>41602</v>
      </c>
    </row>
    <row r="29" spans="1:8" x14ac:dyDescent="0.3">
      <c r="A29">
        <v>27</v>
      </c>
      <c r="B29" s="3">
        <v>40185</v>
      </c>
      <c r="C29" t="s">
        <v>10</v>
      </c>
      <c r="D29" t="s">
        <v>16</v>
      </c>
      <c r="E29" t="s">
        <v>20</v>
      </c>
      <c r="F29">
        <v>15</v>
      </c>
      <c r="G29">
        <v>2823</v>
      </c>
      <c r="H29">
        <f t="shared" si="1"/>
        <v>42345</v>
      </c>
    </row>
    <row r="30" spans="1:8" x14ac:dyDescent="0.3">
      <c r="A30">
        <v>28</v>
      </c>
      <c r="B30" s="3">
        <v>40186</v>
      </c>
      <c r="C30" t="s">
        <v>11</v>
      </c>
      <c r="D30" t="s">
        <v>17</v>
      </c>
      <c r="E30" t="s">
        <v>20</v>
      </c>
      <c r="F30">
        <v>12</v>
      </c>
      <c r="G30">
        <v>4729</v>
      </c>
      <c r="H30">
        <f t="shared" si="1"/>
        <v>56748</v>
      </c>
    </row>
    <row r="31" spans="1:8" x14ac:dyDescent="0.3">
      <c r="A31">
        <v>29</v>
      </c>
      <c r="B31" s="3">
        <v>40187</v>
      </c>
      <c r="C31" t="s">
        <v>12</v>
      </c>
      <c r="D31" t="s">
        <v>18</v>
      </c>
      <c r="E31" t="s">
        <v>20</v>
      </c>
      <c r="F31">
        <v>12</v>
      </c>
      <c r="G31">
        <v>4007</v>
      </c>
      <c r="H31">
        <f t="shared" si="1"/>
        <v>48084</v>
      </c>
    </row>
    <row r="32" spans="1:8" x14ac:dyDescent="0.3">
      <c r="A32">
        <v>30</v>
      </c>
      <c r="B32" s="3">
        <v>40188</v>
      </c>
      <c r="C32" t="s">
        <v>13</v>
      </c>
      <c r="D32" t="s">
        <v>19</v>
      </c>
      <c r="E32" t="s">
        <v>20</v>
      </c>
      <c r="F32">
        <v>10</v>
      </c>
      <c r="G32">
        <v>3459</v>
      </c>
      <c r="H32">
        <f t="shared" si="1"/>
        <v>34590</v>
      </c>
    </row>
    <row r="33" spans="1:8" x14ac:dyDescent="0.3">
      <c r="A33">
        <v>31</v>
      </c>
      <c r="B33" s="3">
        <v>40179</v>
      </c>
      <c r="C33" t="s">
        <v>11</v>
      </c>
      <c r="D33" t="s">
        <v>15</v>
      </c>
      <c r="E33" t="s">
        <v>21</v>
      </c>
      <c r="F33">
        <v>10</v>
      </c>
      <c r="G33">
        <v>4057</v>
      </c>
      <c r="H33">
        <f>F33*G33</f>
        <v>40570</v>
      </c>
    </row>
    <row r="34" spans="1:8" x14ac:dyDescent="0.3">
      <c r="A34">
        <v>32</v>
      </c>
      <c r="B34" s="3">
        <v>40180</v>
      </c>
      <c r="C34" t="s">
        <v>14</v>
      </c>
      <c r="D34" t="s">
        <v>16</v>
      </c>
      <c r="E34" t="s">
        <v>21</v>
      </c>
      <c r="F34">
        <v>18</v>
      </c>
      <c r="G34">
        <v>3809</v>
      </c>
      <c r="H34">
        <f t="shared" ref="H34:H47" si="2">F34*G34</f>
        <v>68562</v>
      </c>
    </row>
    <row r="35" spans="1:8" x14ac:dyDescent="0.3">
      <c r="A35">
        <v>33</v>
      </c>
      <c r="B35" s="3">
        <v>40181</v>
      </c>
      <c r="C35" t="s">
        <v>10</v>
      </c>
      <c r="D35" t="s">
        <v>17</v>
      </c>
      <c r="E35" t="s">
        <v>21</v>
      </c>
      <c r="F35">
        <v>16</v>
      </c>
      <c r="G35">
        <v>3987</v>
      </c>
      <c r="H35">
        <f t="shared" si="2"/>
        <v>63792</v>
      </c>
    </row>
    <row r="36" spans="1:8" x14ac:dyDescent="0.3">
      <c r="A36">
        <v>34</v>
      </c>
      <c r="B36" s="3">
        <v>40182</v>
      </c>
      <c r="C36" t="s">
        <v>8</v>
      </c>
      <c r="D36" t="s">
        <v>18</v>
      </c>
      <c r="E36" t="s">
        <v>21</v>
      </c>
      <c r="F36">
        <v>10</v>
      </c>
      <c r="G36">
        <v>2346</v>
      </c>
      <c r="H36">
        <f t="shared" si="2"/>
        <v>23460</v>
      </c>
    </row>
    <row r="37" spans="1:8" x14ac:dyDescent="0.3">
      <c r="A37">
        <v>35</v>
      </c>
      <c r="B37" s="3">
        <v>40183</v>
      </c>
      <c r="C37" t="s">
        <v>8</v>
      </c>
      <c r="D37" t="s">
        <v>19</v>
      </c>
      <c r="E37" t="s">
        <v>21</v>
      </c>
      <c r="F37">
        <v>8</v>
      </c>
      <c r="G37">
        <v>4953</v>
      </c>
      <c r="H37">
        <f t="shared" si="2"/>
        <v>39624</v>
      </c>
    </row>
    <row r="38" spans="1:8" x14ac:dyDescent="0.3">
      <c r="A38">
        <v>36</v>
      </c>
      <c r="B38" s="3">
        <v>40184</v>
      </c>
      <c r="C38" t="s">
        <v>11</v>
      </c>
      <c r="D38" t="s">
        <v>15</v>
      </c>
      <c r="E38" t="s">
        <v>21</v>
      </c>
      <c r="F38">
        <v>18</v>
      </c>
      <c r="G38">
        <v>4088</v>
      </c>
      <c r="H38">
        <f t="shared" si="2"/>
        <v>73584</v>
      </c>
    </row>
    <row r="39" spans="1:8" x14ac:dyDescent="0.3">
      <c r="A39">
        <v>37</v>
      </c>
      <c r="B39" s="3">
        <v>40185</v>
      </c>
      <c r="C39" t="s">
        <v>14</v>
      </c>
      <c r="D39" t="s">
        <v>16</v>
      </c>
      <c r="E39" t="s">
        <v>21</v>
      </c>
      <c r="F39">
        <v>15</v>
      </c>
      <c r="G39">
        <v>2531</v>
      </c>
      <c r="H39">
        <f t="shared" si="2"/>
        <v>37965</v>
      </c>
    </row>
    <row r="40" spans="1:8" x14ac:dyDescent="0.3">
      <c r="A40">
        <v>38</v>
      </c>
      <c r="B40" s="3">
        <v>40186</v>
      </c>
      <c r="C40" t="s">
        <v>10</v>
      </c>
      <c r="D40" t="s">
        <v>17</v>
      </c>
      <c r="E40" t="s">
        <v>21</v>
      </c>
      <c r="F40">
        <v>13</v>
      </c>
      <c r="G40">
        <v>4716</v>
      </c>
      <c r="H40">
        <f t="shared" si="2"/>
        <v>61308</v>
      </c>
    </row>
    <row r="41" spans="1:8" x14ac:dyDescent="0.3">
      <c r="A41">
        <v>39</v>
      </c>
      <c r="B41" s="3">
        <v>40187</v>
      </c>
      <c r="C41" t="s">
        <v>8</v>
      </c>
      <c r="D41" t="s">
        <v>18</v>
      </c>
      <c r="E41" t="s">
        <v>21</v>
      </c>
      <c r="F41">
        <v>11</v>
      </c>
      <c r="G41">
        <v>2806</v>
      </c>
      <c r="H41">
        <f t="shared" si="2"/>
        <v>30866</v>
      </c>
    </row>
    <row r="42" spans="1:8" x14ac:dyDescent="0.3">
      <c r="A42">
        <v>40</v>
      </c>
      <c r="B42" s="3">
        <v>40188</v>
      </c>
      <c r="C42" t="s">
        <v>8</v>
      </c>
      <c r="D42" t="s">
        <v>19</v>
      </c>
      <c r="E42" t="s">
        <v>21</v>
      </c>
      <c r="F42">
        <v>5</v>
      </c>
      <c r="G42">
        <v>3350</v>
      </c>
      <c r="H42">
        <f t="shared" si="2"/>
        <v>16750</v>
      </c>
    </row>
    <row r="43" spans="1:8" x14ac:dyDescent="0.3">
      <c r="A43">
        <v>41</v>
      </c>
      <c r="B43" s="3">
        <v>40184</v>
      </c>
      <c r="C43" t="s">
        <v>11</v>
      </c>
      <c r="D43" t="s">
        <v>15</v>
      </c>
      <c r="E43" t="s">
        <v>21</v>
      </c>
      <c r="F43">
        <v>18</v>
      </c>
      <c r="G43">
        <v>4088</v>
      </c>
      <c r="H43">
        <f t="shared" si="2"/>
        <v>73584</v>
      </c>
    </row>
    <row r="44" spans="1:8" x14ac:dyDescent="0.3">
      <c r="A44">
        <v>42</v>
      </c>
      <c r="B44" s="3">
        <v>40185</v>
      </c>
      <c r="C44" t="s">
        <v>14</v>
      </c>
      <c r="D44" t="s">
        <v>16</v>
      </c>
      <c r="E44" t="s">
        <v>21</v>
      </c>
      <c r="F44">
        <v>15</v>
      </c>
      <c r="G44">
        <v>2531</v>
      </c>
      <c r="H44">
        <f t="shared" si="2"/>
        <v>37965</v>
      </c>
    </row>
    <row r="45" spans="1:8" x14ac:dyDescent="0.3">
      <c r="A45">
        <v>43</v>
      </c>
      <c r="B45" s="3">
        <v>40186</v>
      </c>
      <c r="C45" t="s">
        <v>10</v>
      </c>
      <c r="D45" t="s">
        <v>17</v>
      </c>
      <c r="E45" t="s">
        <v>21</v>
      </c>
      <c r="F45">
        <v>13</v>
      </c>
      <c r="G45">
        <v>4716</v>
      </c>
      <c r="H45">
        <f t="shared" si="2"/>
        <v>61308</v>
      </c>
    </row>
    <row r="46" spans="1:8" x14ac:dyDescent="0.3">
      <c r="A46">
        <v>44</v>
      </c>
      <c r="B46" s="3">
        <v>40187</v>
      </c>
      <c r="C46" t="s">
        <v>8</v>
      </c>
      <c r="D46" t="s">
        <v>18</v>
      </c>
      <c r="E46" t="s">
        <v>21</v>
      </c>
      <c r="F46">
        <v>11</v>
      </c>
      <c r="G46">
        <v>2806</v>
      </c>
      <c r="H46">
        <f t="shared" si="2"/>
        <v>30866</v>
      </c>
    </row>
    <row r="47" spans="1:8" x14ac:dyDescent="0.3">
      <c r="A47">
        <v>45</v>
      </c>
      <c r="B47" s="3">
        <v>40188</v>
      </c>
      <c r="C47" t="s">
        <v>8</v>
      </c>
      <c r="D47" t="s">
        <v>19</v>
      </c>
      <c r="E47" t="s">
        <v>21</v>
      </c>
      <c r="F47">
        <v>5</v>
      </c>
      <c r="G47">
        <v>3350</v>
      </c>
      <c r="H47">
        <f t="shared" si="2"/>
        <v>16750</v>
      </c>
    </row>
    <row r="48" spans="1:8" x14ac:dyDescent="0.3">
      <c r="A48">
        <v>46</v>
      </c>
      <c r="B48" s="3">
        <v>40179</v>
      </c>
      <c r="C48" t="s">
        <v>13</v>
      </c>
      <c r="D48" t="s">
        <v>15</v>
      </c>
      <c r="E48" t="s">
        <v>22</v>
      </c>
      <c r="F48">
        <v>5</v>
      </c>
      <c r="G48">
        <v>3270</v>
      </c>
      <c r="H48">
        <f>F48*G48</f>
        <v>16350</v>
      </c>
    </row>
    <row r="49" spans="1:8" x14ac:dyDescent="0.3">
      <c r="A49">
        <v>47</v>
      </c>
      <c r="B49" s="3">
        <v>40180</v>
      </c>
      <c r="C49" t="s">
        <v>12</v>
      </c>
      <c r="D49" t="s">
        <v>16</v>
      </c>
      <c r="E49" t="s">
        <v>22</v>
      </c>
      <c r="F49">
        <v>17</v>
      </c>
      <c r="G49">
        <v>4245</v>
      </c>
      <c r="H49">
        <f t="shared" ref="H49:H63" si="3">F49*G49</f>
        <v>72165</v>
      </c>
    </row>
    <row r="50" spans="1:8" x14ac:dyDescent="0.3">
      <c r="A50">
        <v>48</v>
      </c>
      <c r="B50" s="3">
        <v>40181</v>
      </c>
      <c r="C50" t="s">
        <v>13</v>
      </c>
      <c r="D50" t="s">
        <v>17</v>
      </c>
      <c r="E50" t="s">
        <v>22</v>
      </c>
      <c r="F50">
        <v>5</v>
      </c>
      <c r="G50">
        <v>4864</v>
      </c>
      <c r="H50">
        <f t="shared" si="3"/>
        <v>24320</v>
      </c>
    </row>
    <row r="51" spans="1:8" x14ac:dyDescent="0.3">
      <c r="A51">
        <v>49</v>
      </c>
      <c r="B51" s="3">
        <v>40182</v>
      </c>
      <c r="C51" t="s">
        <v>13</v>
      </c>
      <c r="D51" t="s">
        <v>18</v>
      </c>
      <c r="E51" t="s">
        <v>22</v>
      </c>
      <c r="F51">
        <v>6</v>
      </c>
      <c r="G51">
        <v>2381</v>
      </c>
      <c r="H51">
        <f t="shared" si="3"/>
        <v>14286</v>
      </c>
    </row>
    <row r="52" spans="1:8" x14ac:dyDescent="0.3">
      <c r="A52">
        <v>50</v>
      </c>
      <c r="B52" s="3">
        <v>40183</v>
      </c>
      <c r="C52" t="s">
        <v>11</v>
      </c>
      <c r="D52" t="s">
        <v>19</v>
      </c>
      <c r="E52" t="s">
        <v>22</v>
      </c>
      <c r="F52">
        <v>10</v>
      </c>
      <c r="G52">
        <v>3503</v>
      </c>
      <c r="H52">
        <f t="shared" si="3"/>
        <v>35030</v>
      </c>
    </row>
    <row r="53" spans="1:8" x14ac:dyDescent="0.3">
      <c r="A53">
        <v>51</v>
      </c>
      <c r="B53" s="3">
        <v>40184</v>
      </c>
      <c r="C53" t="s">
        <v>13</v>
      </c>
      <c r="D53" t="s">
        <v>15</v>
      </c>
      <c r="E53" t="s">
        <v>22</v>
      </c>
      <c r="F53">
        <v>5</v>
      </c>
      <c r="G53">
        <v>3176</v>
      </c>
      <c r="H53">
        <f t="shared" si="3"/>
        <v>15880</v>
      </c>
    </row>
    <row r="54" spans="1:8" x14ac:dyDescent="0.3">
      <c r="A54">
        <v>52</v>
      </c>
      <c r="B54" s="3">
        <v>40185</v>
      </c>
      <c r="C54" t="s">
        <v>12</v>
      </c>
      <c r="D54" t="s">
        <v>16</v>
      </c>
      <c r="E54" t="s">
        <v>22</v>
      </c>
      <c r="F54">
        <v>12</v>
      </c>
      <c r="G54">
        <v>4192</v>
      </c>
      <c r="H54">
        <f t="shared" si="3"/>
        <v>50304</v>
      </c>
    </row>
    <row r="55" spans="1:8" x14ac:dyDescent="0.3">
      <c r="A55">
        <v>53</v>
      </c>
      <c r="B55" s="3">
        <v>40186</v>
      </c>
      <c r="C55" t="s">
        <v>13</v>
      </c>
      <c r="D55" t="s">
        <v>17</v>
      </c>
      <c r="E55" t="s">
        <v>22</v>
      </c>
      <c r="F55">
        <v>2</v>
      </c>
      <c r="G55">
        <v>4793</v>
      </c>
      <c r="H55">
        <f t="shared" si="3"/>
        <v>9586</v>
      </c>
    </row>
    <row r="56" spans="1:8" x14ac:dyDescent="0.3">
      <c r="A56">
        <v>54</v>
      </c>
      <c r="B56" s="3">
        <v>40187</v>
      </c>
      <c r="C56" t="s">
        <v>13</v>
      </c>
      <c r="D56" t="s">
        <v>18</v>
      </c>
      <c r="E56" t="s">
        <v>22</v>
      </c>
      <c r="F56">
        <v>5</v>
      </c>
      <c r="G56">
        <v>2204</v>
      </c>
      <c r="H56">
        <f t="shared" si="3"/>
        <v>11020</v>
      </c>
    </row>
    <row r="57" spans="1:8" x14ac:dyDescent="0.3">
      <c r="A57">
        <v>55</v>
      </c>
      <c r="B57" s="3">
        <v>40188</v>
      </c>
      <c r="C57" t="s">
        <v>11</v>
      </c>
      <c r="D57" t="s">
        <v>19</v>
      </c>
      <c r="E57" t="s">
        <v>22</v>
      </c>
      <c r="F57">
        <v>18</v>
      </c>
      <c r="G57">
        <v>4183</v>
      </c>
      <c r="H57">
        <f t="shared" si="3"/>
        <v>75294</v>
      </c>
    </row>
    <row r="58" spans="1:8" x14ac:dyDescent="0.3">
      <c r="A58">
        <v>56</v>
      </c>
      <c r="B58" s="3">
        <v>40183</v>
      </c>
      <c r="C58" t="s">
        <v>11</v>
      </c>
      <c r="D58" t="s">
        <v>19</v>
      </c>
      <c r="E58" t="s">
        <v>22</v>
      </c>
      <c r="F58">
        <v>10</v>
      </c>
      <c r="G58">
        <v>3503</v>
      </c>
      <c r="H58">
        <f t="shared" si="3"/>
        <v>35030</v>
      </c>
    </row>
    <row r="59" spans="1:8" x14ac:dyDescent="0.3">
      <c r="A59">
        <v>57</v>
      </c>
      <c r="B59" s="3">
        <v>40184</v>
      </c>
      <c r="C59" t="s">
        <v>13</v>
      </c>
      <c r="D59" t="s">
        <v>15</v>
      </c>
      <c r="E59" t="s">
        <v>22</v>
      </c>
      <c r="F59">
        <v>5</v>
      </c>
      <c r="G59">
        <v>3176</v>
      </c>
      <c r="H59">
        <f t="shared" si="3"/>
        <v>15880</v>
      </c>
    </row>
    <row r="60" spans="1:8" x14ac:dyDescent="0.3">
      <c r="A60">
        <v>58</v>
      </c>
      <c r="B60" s="3">
        <v>40185</v>
      </c>
      <c r="C60" t="s">
        <v>12</v>
      </c>
      <c r="D60" t="s">
        <v>16</v>
      </c>
      <c r="E60" t="s">
        <v>22</v>
      </c>
      <c r="F60">
        <v>12</v>
      </c>
      <c r="G60">
        <v>4192</v>
      </c>
      <c r="H60">
        <f t="shared" si="3"/>
        <v>50304</v>
      </c>
    </row>
    <row r="61" spans="1:8" x14ac:dyDescent="0.3">
      <c r="A61">
        <v>59</v>
      </c>
      <c r="B61" s="3">
        <v>40186</v>
      </c>
      <c r="C61" t="s">
        <v>13</v>
      </c>
      <c r="D61" t="s">
        <v>17</v>
      </c>
      <c r="E61" t="s">
        <v>22</v>
      </c>
      <c r="F61">
        <v>2</v>
      </c>
      <c r="G61">
        <v>4793</v>
      </c>
      <c r="H61">
        <f t="shared" si="3"/>
        <v>9586</v>
      </c>
    </row>
    <row r="62" spans="1:8" x14ac:dyDescent="0.3">
      <c r="A62">
        <v>60</v>
      </c>
      <c r="B62" s="3">
        <v>40187</v>
      </c>
      <c r="C62" t="s">
        <v>13</v>
      </c>
      <c r="D62" t="s">
        <v>18</v>
      </c>
      <c r="E62" t="s">
        <v>22</v>
      </c>
      <c r="F62">
        <v>5</v>
      </c>
      <c r="G62">
        <v>2204</v>
      </c>
      <c r="H62">
        <f t="shared" si="3"/>
        <v>11020</v>
      </c>
    </row>
    <row r="63" spans="1:8" x14ac:dyDescent="0.3">
      <c r="A63">
        <v>61</v>
      </c>
      <c r="B63" s="3">
        <v>40188</v>
      </c>
      <c r="C63" t="s">
        <v>11</v>
      </c>
      <c r="D63" t="s">
        <v>19</v>
      </c>
      <c r="E63" t="s">
        <v>22</v>
      </c>
      <c r="F63">
        <v>18</v>
      </c>
      <c r="G63">
        <v>4183</v>
      </c>
      <c r="H63">
        <f t="shared" si="3"/>
        <v>75294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H16"/>
  <sheetViews>
    <sheetView workbookViewId="0">
      <selection sqref="A1:H16"/>
    </sheetView>
  </sheetViews>
  <sheetFormatPr defaultRowHeight="14.4" x14ac:dyDescent="0.3"/>
  <cols>
    <col min="1" max="1" width="9.109375" style="1"/>
    <col min="2" max="2" width="11.109375" style="1" customWidth="1"/>
    <col min="3" max="3" width="14" customWidth="1"/>
    <col min="4" max="4" width="18.88671875" customWidth="1"/>
    <col min="5" max="7" width="9.109375" style="1"/>
    <col min="8" max="8" width="12.5546875" style="1" customWidth="1"/>
  </cols>
  <sheetData>
    <row r="1" spans="1:8" x14ac:dyDescent="0.3">
      <c r="A1" t="s">
        <v>7</v>
      </c>
      <c r="B1" t="s">
        <v>0</v>
      </c>
      <c r="C1" t="s">
        <v>1</v>
      </c>
      <c r="D1" t="s">
        <v>2</v>
      </c>
      <c r="E1" t="s">
        <v>3</v>
      </c>
      <c r="F1" t="s">
        <v>4</v>
      </c>
      <c r="G1" t="s">
        <v>5</v>
      </c>
      <c r="H1" t="s">
        <v>6</v>
      </c>
    </row>
    <row r="2" spans="1:8" x14ac:dyDescent="0.3">
      <c r="A2">
        <v>1</v>
      </c>
      <c r="B2" s="3">
        <v>40179</v>
      </c>
      <c r="C2" t="s">
        <v>10</v>
      </c>
      <c r="D2" t="s">
        <v>15</v>
      </c>
      <c r="E2" t="s">
        <v>9</v>
      </c>
      <c r="F2">
        <v>16</v>
      </c>
      <c r="G2">
        <v>2195</v>
      </c>
      <c r="H2">
        <f>F2*G2</f>
        <v>35120</v>
      </c>
    </row>
    <row r="3" spans="1:8" x14ac:dyDescent="0.3">
      <c r="A3">
        <v>2</v>
      </c>
      <c r="B3" s="3">
        <v>40180</v>
      </c>
      <c r="C3" t="s">
        <v>8</v>
      </c>
      <c r="D3" t="s">
        <v>16</v>
      </c>
      <c r="E3" t="s">
        <v>9</v>
      </c>
      <c r="F3">
        <v>16</v>
      </c>
      <c r="G3">
        <v>3971</v>
      </c>
      <c r="H3">
        <f t="shared" ref="H3:H11" si="0">F3*G3</f>
        <v>63536</v>
      </c>
    </row>
    <row r="4" spans="1:8" x14ac:dyDescent="0.3">
      <c r="A4">
        <v>3</v>
      </c>
      <c r="B4" s="3">
        <v>40181</v>
      </c>
      <c r="C4" t="s">
        <v>12</v>
      </c>
      <c r="D4" t="s">
        <v>17</v>
      </c>
      <c r="E4" t="s">
        <v>9</v>
      </c>
      <c r="F4">
        <v>11</v>
      </c>
      <c r="G4">
        <v>4859</v>
      </c>
      <c r="H4">
        <f t="shared" si="0"/>
        <v>53449</v>
      </c>
    </row>
    <row r="5" spans="1:8" x14ac:dyDescent="0.3">
      <c r="A5">
        <v>4</v>
      </c>
      <c r="B5" s="3">
        <v>40182</v>
      </c>
      <c r="C5" t="s">
        <v>11</v>
      </c>
      <c r="D5" t="s">
        <v>18</v>
      </c>
      <c r="E5" t="s">
        <v>9</v>
      </c>
      <c r="F5">
        <v>16</v>
      </c>
      <c r="G5">
        <v>2055</v>
      </c>
      <c r="H5">
        <f t="shared" si="0"/>
        <v>32880</v>
      </c>
    </row>
    <row r="6" spans="1:8" x14ac:dyDescent="0.3">
      <c r="A6">
        <v>5</v>
      </c>
      <c r="B6" s="3">
        <v>40183</v>
      </c>
      <c r="C6" t="s">
        <v>14</v>
      </c>
      <c r="D6" t="s">
        <v>19</v>
      </c>
      <c r="E6" t="s">
        <v>9</v>
      </c>
      <c r="F6">
        <v>17</v>
      </c>
      <c r="G6">
        <v>3892</v>
      </c>
      <c r="H6">
        <f t="shared" si="0"/>
        <v>66164</v>
      </c>
    </row>
    <row r="7" spans="1:8" x14ac:dyDescent="0.3">
      <c r="A7">
        <v>6</v>
      </c>
      <c r="B7" s="3">
        <v>40184</v>
      </c>
      <c r="C7" t="s">
        <v>10</v>
      </c>
      <c r="D7" t="s">
        <v>15</v>
      </c>
      <c r="E7" t="s">
        <v>9</v>
      </c>
      <c r="F7">
        <v>11</v>
      </c>
      <c r="G7">
        <v>4640</v>
      </c>
      <c r="H7">
        <f t="shared" si="0"/>
        <v>51040</v>
      </c>
    </row>
    <row r="8" spans="1:8" x14ac:dyDescent="0.3">
      <c r="A8">
        <v>7</v>
      </c>
      <c r="B8" s="3">
        <v>40185</v>
      </c>
      <c r="C8" t="s">
        <v>8</v>
      </c>
      <c r="D8" t="s">
        <v>16</v>
      </c>
      <c r="E8" t="s">
        <v>9</v>
      </c>
      <c r="F8">
        <v>16</v>
      </c>
      <c r="G8">
        <v>4610</v>
      </c>
      <c r="H8">
        <f t="shared" si="0"/>
        <v>73760</v>
      </c>
    </row>
    <row r="9" spans="1:8" x14ac:dyDescent="0.3">
      <c r="A9">
        <v>8</v>
      </c>
      <c r="B9" s="3">
        <v>40186</v>
      </c>
      <c r="C9" t="s">
        <v>12</v>
      </c>
      <c r="D9" t="s">
        <v>17</v>
      </c>
      <c r="E9" t="s">
        <v>9</v>
      </c>
      <c r="F9">
        <v>18</v>
      </c>
      <c r="G9">
        <v>2221</v>
      </c>
      <c r="H9">
        <f t="shared" si="0"/>
        <v>39978</v>
      </c>
    </row>
    <row r="10" spans="1:8" x14ac:dyDescent="0.3">
      <c r="A10">
        <v>9</v>
      </c>
      <c r="B10" s="3">
        <v>40187</v>
      </c>
      <c r="C10" t="s">
        <v>11</v>
      </c>
      <c r="D10" t="s">
        <v>18</v>
      </c>
      <c r="E10" t="s">
        <v>9</v>
      </c>
      <c r="F10">
        <v>14</v>
      </c>
      <c r="G10">
        <v>3949</v>
      </c>
      <c r="H10">
        <f t="shared" si="0"/>
        <v>55286</v>
      </c>
    </row>
    <row r="11" spans="1:8" x14ac:dyDescent="0.3">
      <c r="A11">
        <v>10</v>
      </c>
      <c r="B11" s="3">
        <v>40188</v>
      </c>
      <c r="C11" t="s">
        <v>14</v>
      </c>
      <c r="D11" t="s">
        <v>19</v>
      </c>
      <c r="E11" t="s">
        <v>9</v>
      </c>
      <c r="F11">
        <v>14</v>
      </c>
      <c r="G11">
        <v>2943</v>
      </c>
      <c r="H11">
        <f t="shared" si="0"/>
        <v>41202</v>
      </c>
    </row>
    <row r="12" spans="1:8" x14ac:dyDescent="0.3">
      <c r="A12">
        <v>11</v>
      </c>
      <c r="B12" s="3">
        <v>40184</v>
      </c>
      <c r="C12" t="s">
        <v>10</v>
      </c>
      <c r="D12" t="s">
        <v>15</v>
      </c>
      <c r="E12" t="s">
        <v>9</v>
      </c>
      <c r="F12">
        <v>11</v>
      </c>
      <c r="G12">
        <v>4640</v>
      </c>
      <c r="H12">
        <f t="shared" ref="H12:H16" si="1">F12*G12</f>
        <v>51040</v>
      </c>
    </row>
    <row r="13" spans="1:8" x14ac:dyDescent="0.3">
      <c r="A13">
        <v>12</v>
      </c>
      <c r="B13" s="3">
        <v>40185</v>
      </c>
      <c r="C13" t="s">
        <v>8</v>
      </c>
      <c r="D13" t="s">
        <v>16</v>
      </c>
      <c r="E13" t="s">
        <v>9</v>
      </c>
      <c r="F13">
        <v>16</v>
      </c>
      <c r="G13">
        <v>4610</v>
      </c>
      <c r="H13">
        <f t="shared" si="1"/>
        <v>73760</v>
      </c>
    </row>
    <row r="14" spans="1:8" x14ac:dyDescent="0.3">
      <c r="A14">
        <v>13</v>
      </c>
      <c r="B14" s="3">
        <v>40186</v>
      </c>
      <c r="C14" t="s">
        <v>12</v>
      </c>
      <c r="D14" t="s">
        <v>17</v>
      </c>
      <c r="E14" t="s">
        <v>9</v>
      </c>
      <c r="F14">
        <v>18</v>
      </c>
      <c r="G14">
        <v>2221</v>
      </c>
      <c r="H14">
        <f t="shared" si="1"/>
        <v>39978</v>
      </c>
    </row>
    <row r="15" spans="1:8" x14ac:dyDescent="0.3">
      <c r="A15">
        <v>14</v>
      </c>
      <c r="B15" s="3">
        <v>40187</v>
      </c>
      <c r="C15" t="s">
        <v>11</v>
      </c>
      <c r="D15" t="s">
        <v>18</v>
      </c>
      <c r="E15" t="s">
        <v>9</v>
      </c>
      <c r="F15">
        <v>14</v>
      </c>
      <c r="G15">
        <v>3949</v>
      </c>
      <c r="H15">
        <f t="shared" si="1"/>
        <v>55286</v>
      </c>
    </row>
    <row r="16" spans="1:8" x14ac:dyDescent="0.3">
      <c r="A16">
        <v>15</v>
      </c>
      <c r="B16" s="3">
        <v>40188</v>
      </c>
      <c r="C16" t="s">
        <v>14</v>
      </c>
      <c r="D16" t="s">
        <v>19</v>
      </c>
      <c r="E16" t="s">
        <v>9</v>
      </c>
      <c r="F16">
        <v>14</v>
      </c>
      <c r="G16">
        <v>2943</v>
      </c>
      <c r="H16">
        <f t="shared" si="1"/>
        <v>41202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16"/>
  <sheetViews>
    <sheetView workbookViewId="0">
      <selection activeCell="A2" sqref="A2:H16"/>
    </sheetView>
  </sheetViews>
  <sheetFormatPr defaultRowHeight="14.4" x14ac:dyDescent="0.3"/>
  <cols>
    <col min="1" max="1" width="9.109375" style="1"/>
    <col min="2" max="2" width="11.109375" style="1" customWidth="1"/>
    <col min="3" max="3" width="14" customWidth="1"/>
    <col min="4" max="4" width="18.88671875" customWidth="1"/>
    <col min="5" max="7" width="9.109375" style="1"/>
    <col min="8" max="8" width="12.5546875" style="1" customWidth="1"/>
  </cols>
  <sheetData>
    <row r="1" spans="1:8" x14ac:dyDescent="0.3">
      <c r="A1" t="s">
        <v>7</v>
      </c>
      <c r="B1" t="s">
        <v>0</v>
      </c>
      <c r="C1" t="s">
        <v>1</v>
      </c>
      <c r="D1" t="s">
        <v>2</v>
      </c>
      <c r="E1" t="s">
        <v>3</v>
      </c>
      <c r="F1" t="s">
        <v>4</v>
      </c>
      <c r="G1" t="s">
        <v>5</v>
      </c>
      <c r="H1" t="s">
        <v>6</v>
      </c>
    </row>
    <row r="2" spans="1:8" x14ac:dyDescent="0.3">
      <c r="A2">
        <v>1</v>
      </c>
      <c r="B2" s="3">
        <v>40179</v>
      </c>
      <c r="C2" t="s">
        <v>8</v>
      </c>
      <c r="D2" t="s">
        <v>15</v>
      </c>
      <c r="E2" t="s">
        <v>20</v>
      </c>
      <c r="F2">
        <v>16</v>
      </c>
      <c r="G2">
        <v>2856</v>
      </c>
      <c r="H2">
        <f>F2*G2</f>
        <v>45696</v>
      </c>
    </row>
    <row r="3" spans="1:8" x14ac:dyDescent="0.3">
      <c r="A3">
        <v>2</v>
      </c>
      <c r="B3" s="3">
        <v>40180</v>
      </c>
      <c r="C3" t="s">
        <v>10</v>
      </c>
      <c r="D3" t="s">
        <v>16</v>
      </c>
      <c r="E3" t="s">
        <v>20</v>
      </c>
      <c r="F3">
        <v>13</v>
      </c>
      <c r="G3">
        <v>2722</v>
      </c>
      <c r="H3">
        <f t="shared" ref="H3:H11" si="0">F3*G3</f>
        <v>35386</v>
      </c>
    </row>
    <row r="4" spans="1:8" x14ac:dyDescent="0.3">
      <c r="A4">
        <v>3</v>
      </c>
      <c r="B4" s="3">
        <v>40181</v>
      </c>
      <c r="C4" t="s">
        <v>11</v>
      </c>
      <c r="D4" t="s">
        <v>17</v>
      </c>
      <c r="E4" t="s">
        <v>20</v>
      </c>
      <c r="F4">
        <v>18</v>
      </c>
      <c r="G4">
        <v>2900</v>
      </c>
      <c r="H4">
        <f t="shared" si="0"/>
        <v>52200</v>
      </c>
    </row>
    <row r="5" spans="1:8" x14ac:dyDescent="0.3">
      <c r="A5">
        <v>4</v>
      </c>
      <c r="B5" s="3">
        <v>40182</v>
      </c>
      <c r="C5" t="s">
        <v>12</v>
      </c>
      <c r="D5" t="s">
        <v>18</v>
      </c>
      <c r="E5" t="s">
        <v>20</v>
      </c>
      <c r="F5">
        <v>13</v>
      </c>
      <c r="G5">
        <v>2236</v>
      </c>
      <c r="H5">
        <f t="shared" si="0"/>
        <v>29068</v>
      </c>
    </row>
    <row r="6" spans="1:8" x14ac:dyDescent="0.3">
      <c r="A6">
        <v>5</v>
      </c>
      <c r="B6" s="3">
        <v>40183</v>
      </c>
      <c r="C6" t="s">
        <v>13</v>
      </c>
      <c r="D6" t="s">
        <v>19</v>
      </c>
      <c r="E6" t="s">
        <v>20</v>
      </c>
      <c r="F6">
        <v>10</v>
      </c>
      <c r="G6">
        <v>4569</v>
      </c>
      <c r="H6">
        <f t="shared" si="0"/>
        <v>45690</v>
      </c>
    </row>
    <row r="7" spans="1:8" x14ac:dyDescent="0.3">
      <c r="A7">
        <v>6</v>
      </c>
      <c r="B7" s="3">
        <v>40184</v>
      </c>
      <c r="C7" t="s">
        <v>8</v>
      </c>
      <c r="D7" t="s">
        <v>15</v>
      </c>
      <c r="E7" t="s">
        <v>20</v>
      </c>
      <c r="F7">
        <v>11</v>
      </c>
      <c r="G7">
        <v>3782</v>
      </c>
      <c r="H7">
        <f t="shared" si="0"/>
        <v>41602</v>
      </c>
    </row>
    <row r="8" spans="1:8" x14ac:dyDescent="0.3">
      <c r="A8">
        <v>7</v>
      </c>
      <c r="B8" s="3">
        <v>40185</v>
      </c>
      <c r="C8" t="s">
        <v>10</v>
      </c>
      <c r="D8" t="s">
        <v>16</v>
      </c>
      <c r="E8" t="s">
        <v>20</v>
      </c>
      <c r="F8">
        <v>15</v>
      </c>
      <c r="G8">
        <v>2823</v>
      </c>
      <c r="H8">
        <f t="shared" si="0"/>
        <v>42345</v>
      </c>
    </row>
    <row r="9" spans="1:8" x14ac:dyDescent="0.3">
      <c r="A9">
        <v>8</v>
      </c>
      <c r="B9" s="3">
        <v>40186</v>
      </c>
      <c r="C9" t="s">
        <v>11</v>
      </c>
      <c r="D9" t="s">
        <v>17</v>
      </c>
      <c r="E9" t="s">
        <v>20</v>
      </c>
      <c r="F9">
        <v>12</v>
      </c>
      <c r="G9">
        <v>4729</v>
      </c>
      <c r="H9">
        <f t="shared" si="0"/>
        <v>56748</v>
      </c>
    </row>
    <row r="10" spans="1:8" x14ac:dyDescent="0.3">
      <c r="A10">
        <v>9</v>
      </c>
      <c r="B10" s="3">
        <v>40187</v>
      </c>
      <c r="C10" t="s">
        <v>12</v>
      </c>
      <c r="D10" t="s">
        <v>18</v>
      </c>
      <c r="E10" t="s">
        <v>20</v>
      </c>
      <c r="F10">
        <v>12</v>
      </c>
      <c r="G10">
        <v>4007</v>
      </c>
      <c r="H10">
        <f t="shared" si="0"/>
        <v>48084</v>
      </c>
    </row>
    <row r="11" spans="1:8" x14ac:dyDescent="0.3">
      <c r="A11">
        <v>10</v>
      </c>
      <c r="B11" s="3">
        <v>40188</v>
      </c>
      <c r="C11" t="s">
        <v>13</v>
      </c>
      <c r="D11" t="s">
        <v>19</v>
      </c>
      <c r="E11" t="s">
        <v>20</v>
      </c>
      <c r="F11">
        <v>10</v>
      </c>
      <c r="G11">
        <v>3459</v>
      </c>
      <c r="H11">
        <f t="shared" si="0"/>
        <v>34590</v>
      </c>
    </row>
    <row r="12" spans="1:8" x14ac:dyDescent="0.3">
      <c r="A12">
        <v>11</v>
      </c>
      <c r="B12" s="3">
        <v>40184</v>
      </c>
      <c r="C12" t="s">
        <v>8</v>
      </c>
      <c r="D12" t="s">
        <v>15</v>
      </c>
      <c r="E12" t="s">
        <v>20</v>
      </c>
      <c r="F12">
        <v>11</v>
      </c>
      <c r="G12">
        <v>3782</v>
      </c>
      <c r="H12">
        <f t="shared" ref="H12:H16" si="1">F12*G12</f>
        <v>41602</v>
      </c>
    </row>
    <row r="13" spans="1:8" x14ac:dyDescent="0.3">
      <c r="A13">
        <v>12</v>
      </c>
      <c r="B13" s="3">
        <v>40185</v>
      </c>
      <c r="C13" t="s">
        <v>10</v>
      </c>
      <c r="D13" t="s">
        <v>16</v>
      </c>
      <c r="E13" t="s">
        <v>20</v>
      </c>
      <c r="F13">
        <v>15</v>
      </c>
      <c r="G13">
        <v>2823</v>
      </c>
      <c r="H13">
        <f t="shared" si="1"/>
        <v>42345</v>
      </c>
    </row>
    <row r="14" spans="1:8" x14ac:dyDescent="0.3">
      <c r="A14">
        <v>13</v>
      </c>
      <c r="B14" s="3">
        <v>40186</v>
      </c>
      <c r="C14" t="s">
        <v>11</v>
      </c>
      <c r="D14" t="s">
        <v>17</v>
      </c>
      <c r="E14" t="s">
        <v>20</v>
      </c>
      <c r="F14">
        <v>12</v>
      </c>
      <c r="G14">
        <v>4729</v>
      </c>
      <c r="H14">
        <f t="shared" si="1"/>
        <v>56748</v>
      </c>
    </row>
    <row r="15" spans="1:8" x14ac:dyDescent="0.3">
      <c r="A15">
        <v>14</v>
      </c>
      <c r="B15" s="3">
        <v>40187</v>
      </c>
      <c r="C15" t="s">
        <v>12</v>
      </c>
      <c r="D15" t="s">
        <v>18</v>
      </c>
      <c r="E15" t="s">
        <v>20</v>
      </c>
      <c r="F15">
        <v>12</v>
      </c>
      <c r="G15">
        <v>4007</v>
      </c>
      <c r="H15">
        <f t="shared" si="1"/>
        <v>48084</v>
      </c>
    </row>
    <row r="16" spans="1:8" x14ac:dyDescent="0.3">
      <c r="A16">
        <v>15</v>
      </c>
      <c r="B16" s="3">
        <v>40188</v>
      </c>
      <c r="C16" t="s">
        <v>13</v>
      </c>
      <c r="D16" t="s">
        <v>19</v>
      </c>
      <c r="E16" t="s">
        <v>20</v>
      </c>
      <c r="F16">
        <v>10</v>
      </c>
      <c r="G16">
        <v>3459</v>
      </c>
      <c r="H16">
        <f t="shared" si="1"/>
        <v>34590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16"/>
  <sheetViews>
    <sheetView workbookViewId="0">
      <selection activeCell="A2" sqref="A2:H16"/>
    </sheetView>
  </sheetViews>
  <sheetFormatPr defaultRowHeight="14.4" x14ac:dyDescent="0.3"/>
  <cols>
    <col min="1" max="1" width="9.109375" style="1"/>
    <col min="2" max="2" width="11.109375" style="1" customWidth="1"/>
    <col min="3" max="3" width="14" customWidth="1"/>
    <col min="4" max="4" width="18.88671875" customWidth="1"/>
    <col min="5" max="7" width="9.109375" style="1"/>
    <col min="8" max="8" width="12.5546875" style="1" customWidth="1"/>
  </cols>
  <sheetData>
    <row r="1" spans="1:8" x14ac:dyDescent="0.3">
      <c r="A1" t="s">
        <v>7</v>
      </c>
      <c r="B1" t="s">
        <v>0</v>
      </c>
      <c r="C1" t="s">
        <v>1</v>
      </c>
      <c r="D1" t="s">
        <v>2</v>
      </c>
      <c r="E1" t="s">
        <v>3</v>
      </c>
      <c r="F1" t="s">
        <v>4</v>
      </c>
      <c r="G1" t="s">
        <v>5</v>
      </c>
      <c r="H1" t="s">
        <v>6</v>
      </c>
    </row>
    <row r="2" spans="1:8" x14ac:dyDescent="0.3">
      <c r="A2">
        <v>1</v>
      </c>
      <c r="B2" s="3">
        <v>40179</v>
      </c>
      <c r="C2" t="s">
        <v>11</v>
      </c>
      <c r="D2" t="s">
        <v>15</v>
      </c>
      <c r="E2" t="s">
        <v>21</v>
      </c>
      <c r="F2">
        <v>10</v>
      </c>
      <c r="G2">
        <v>4057</v>
      </c>
      <c r="H2">
        <f>F2*G2</f>
        <v>40570</v>
      </c>
    </row>
    <row r="3" spans="1:8" x14ac:dyDescent="0.3">
      <c r="A3">
        <v>2</v>
      </c>
      <c r="B3" s="3">
        <v>40180</v>
      </c>
      <c r="C3" t="s">
        <v>14</v>
      </c>
      <c r="D3" t="s">
        <v>16</v>
      </c>
      <c r="E3" t="s">
        <v>21</v>
      </c>
      <c r="F3">
        <v>18</v>
      </c>
      <c r="G3">
        <v>3809</v>
      </c>
      <c r="H3">
        <f t="shared" ref="H3:H11" si="0">F3*G3</f>
        <v>68562</v>
      </c>
    </row>
    <row r="4" spans="1:8" x14ac:dyDescent="0.3">
      <c r="A4">
        <v>3</v>
      </c>
      <c r="B4" s="3">
        <v>40181</v>
      </c>
      <c r="C4" t="s">
        <v>10</v>
      </c>
      <c r="D4" t="s">
        <v>17</v>
      </c>
      <c r="E4" t="s">
        <v>21</v>
      </c>
      <c r="F4">
        <v>16</v>
      </c>
      <c r="G4">
        <v>3987</v>
      </c>
      <c r="H4">
        <f t="shared" si="0"/>
        <v>63792</v>
      </c>
    </row>
    <row r="5" spans="1:8" x14ac:dyDescent="0.3">
      <c r="A5">
        <v>4</v>
      </c>
      <c r="B5" s="3">
        <v>40182</v>
      </c>
      <c r="C5" t="s">
        <v>8</v>
      </c>
      <c r="D5" t="s">
        <v>18</v>
      </c>
      <c r="E5" t="s">
        <v>21</v>
      </c>
      <c r="F5">
        <v>10</v>
      </c>
      <c r="G5">
        <v>2346</v>
      </c>
      <c r="H5">
        <f t="shared" si="0"/>
        <v>23460</v>
      </c>
    </row>
    <row r="6" spans="1:8" x14ac:dyDescent="0.3">
      <c r="A6">
        <v>5</v>
      </c>
      <c r="B6" s="3">
        <v>40183</v>
      </c>
      <c r="C6" t="s">
        <v>8</v>
      </c>
      <c r="D6" t="s">
        <v>19</v>
      </c>
      <c r="E6" t="s">
        <v>21</v>
      </c>
      <c r="F6">
        <v>8</v>
      </c>
      <c r="G6">
        <v>4953</v>
      </c>
      <c r="H6">
        <f t="shared" si="0"/>
        <v>39624</v>
      </c>
    </row>
    <row r="7" spans="1:8" x14ac:dyDescent="0.3">
      <c r="A7">
        <v>6</v>
      </c>
      <c r="B7" s="3">
        <v>40184</v>
      </c>
      <c r="C7" t="s">
        <v>11</v>
      </c>
      <c r="D7" t="s">
        <v>15</v>
      </c>
      <c r="E7" t="s">
        <v>21</v>
      </c>
      <c r="F7">
        <v>18</v>
      </c>
      <c r="G7">
        <v>4088</v>
      </c>
      <c r="H7">
        <f t="shared" si="0"/>
        <v>73584</v>
      </c>
    </row>
    <row r="8" spans="1:8" x14ac:dyDescent="0.3">
      <c r="A8">
        <v>7</v>
      </c>
      <c r="B8" s="3">
        <v>40185</v>
      </c>
      <c r="C8" t="s">
        <v>14</v>
      </c>
      <c r="D8" t="s">
        <v>16</v>
      </c>
      <c r="E8" t="s">
        <v>21</v>
      </c>
      <c r="F8">
        <v>15</v>
      </c>
      <c r="G8">
        <v>2531</v>
      </c>
      <c r="H8">
        <f t="shared" si="0"/>
        <v>37965</v>
      </c>
    </row>
    <row r="9" spans="1:8" x14ac:dyDescent="0.3">
      <c r="A9">
        <v>8</v>
      </c>
      <c r="B9" s="3">
        <v>40186</v>
      </c>
      <c r="C9" t="s">
        <v>10</v>
      </c>
      <c r="D9" t="s">
        <v>17</v>
      </c>
      <c r="E9" t="s">
        <v>21</v>
      </c>
      <c r="F9">
        <v>13</v>
      </c>
      <c r="G9">
        <v>4716</v>
      </c>
      <c r="H9">
        <f t="shared" si="0"/>
        <v>61308</v>
      </c>
    </row>
    <row r="10" spans="1:8" x14ac:dyDescent="0.3">
      <c r="A10">
        <v>9</v>
      </c>
      <c r="B10" s="3">
        <v>40187</v>
      </c>
      <c r="C10" t="s">
        <v>8</v>
      </c>
      <c r="D10" t="s">
        <v>18</v>
      </c>
      <c r="E10" t="s">
        <v>21</v>
      </c>
      <c r="F10">
        <v>11</v>
      </c>
      <c r="G10">
        <v>2806</v>
      </c>
      <c r="H10">
        <f t="shared" si="0"/>
        <v>30866</v>
      </c>
    </row>
    <row r="11" spans="1:8" x14ac:dyDescent="0.3">
      <c r="A11">
        <v>10</v>
      </c>
      <c r="B11" s="3">
        <v>40188</v>
      </c>
      <c r="C11" t="s">
        <v>8</v>
      </c>
      <c r="D11" t="s">
        <v>19</v>
      </c>
      <c r="E11" t="s">
        <v>21</v>
      </c>
      <c r="F11">
        <v>5</v>
      </c>
      <c r="G11">
        <v>3350</v>
      </c>
      <c r="H11">
        <f t="shared" si="0"/>
        <v>16750</v>
      </c>
    </row>
    <row r="12" spans="1:8" x14ac:dyDescent="0.3">
      <c r="A12">
        <v>11</v>
      </c>
      <c r="B12" s="3">
        <v>40184</v>
      </c>
      <c r="C12" t="s">
        <v>11</v>
      </c>
      <c r="D12" t="s">
        <v>15</v>
      </c>
      <c r="E12" t="s">
        <v>21</v>
      </c>
      <c r="F12">
        <v>18</v>
      </c>
      <c r="G12">
        <v>4088</v>
      </c>
      <c r="H12">
        <f t="shared" ref="H12:H16" si="1">F12*G12</f>
        <v>73584</v>
      </c>
    </row>
    <row r="13" spans="1:8" x14ac:dyDescent="0.3">
      <c r="A13">
        <v>12</v>
      </c>
      <c r="B13" s="3">
        <v>40185</v>
      </c>
      <c r="C13" t="s">
        <v>14</v>
      </c>
      <c r="D13" t="s">
        <v>16</v>
      </c>
      <c r="E13" t="s">
        <v>21</v>
      </c>
      <c r="F13">
        <v>15</v>
      </c>
      <c r="G13">
        <v>2531</v>
      </c>
      <c r="H13">
        <f t="shared" si="1"/>
        <v>37965</v>
      </c>
    </row>
    <row r="14" spans="1:8" x14ac:dyDescent="0.3">
      <c r="A14">
        <v>13</v>
      </c>
      <c r="B14" s="3">
        <v>40186</v>
      </c>
      <c r="C14" t="s">
        <v>10</v>
      </c>
      <c r="D14" t="s">
        <v>17</v>
      </c>
      <c r="E14" t="s">
        <v>21</v>
      </c>
      <c r="F14">
        <v>13</v>
      </c>
      <c r="G14">
        <v>4716</v>
      </c>
      <c r="H14">
        <f t="shared" si="1"/>
        <v>61308</v>
      </c>
    </row>
    <row r="15" spans="1:8" x14ac:dyDescent="0.3">
      <c r="A15">
        <v>14</v>
      </c>
      <c r="B15" s="3">
        <v>40187</v>
      </c>
      <c r="C15" t="s">
        <v>8</v>
      </c>
      <c r="D15" t="s">
        <v>18</v>
      </c>
      <c r="E15" t="s">
        <v>21</v>
      </c>
      <c r="F15">
        <v>11</v>
      </c>
      <c r="G15">
        <v>2806</v>
      </c>
      <c r="H15">
        <f t="shared" si="1"/>
        <v>30866</v>
      </c>
    </row>
    <row r="16" spans="1:8" x14ac:dyDescent="0.3">
      <c r="A16">
        <v>15</v>
      </c>
      <c r="B16" s="3">
        <v>40188</v>
      </c>
      <c r="C16" t="s">
        <v>8</v>
      </c>
      <c r="D16" t="s">
        <v>19</v>
      </c>
      <c r="E16" t="s">
        <v>21</v>
      </c>
      <c r="F16">
        <v>5</v>
      </c>
      <c r="G16">
        <v>3350</v>
      </c>
      <c r="H16">
        <f t="shared" si="1"/>
        <v>16750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17"/>
  <sheetViews>
    <sheetView workbookViewId="0">
      <selection activeCell="A2" sqref="A2:H17"/>
    </sheetView>
  </sheetViews>
  <sheetFormatPr defaultRowHeight="14.4" x14ac:dyDescent="0.3"/>
  <cols>
    <col min="1" max="1" width="9.109375" style="1"/>
    <col min="2" max="2" width="11.109375" style="1" customWidth="1"/>
    <col min="3" max="3" width="14" customWidth="1"/>
    <col min="4" max="4" width="18.88671875" customWidth="1"/>
    <col min="5" max="7" width="9.109375" style="1"/>
    <col min="8" max="8" width="12.5546875" style="1" customWidth="1"/>
  </cols>
  <sheetData>
    <row r="1" spans="1:8" x14ac:dyDescent="0.3">
      <c r="A1" s="2" t="s">
        <v>7</v>
      </c>
      <c r="B1" s="2" t="s">
        <v>0</v>
      </c>
      <c r="C1" s="2" t="s">
        <v>1</v>
      </c>
      <c r="D1" s="2" t="s">
        <v>2</v>
      </c>
      <c r="E1" s="2" t="s">
        <v>3</v>
      </c>
      <c r="F1" s="2" t="s">
        <v>4</v>
      </c>
      <c r="G1" s="2" t="s">
        <v>5</v>
      </c>
      <c r="H1" s="2" t="s">
        <v>6</v>
      </c>
    </row>
    <row r="2" spans="1:8" x14ac:dyDescent="0.3">
      <c r="A2">
        <v>1</v>
      </c>
      <c r="B2" s="3">
        <v>40179</v>
      </c>
      <c r="C2" t="s">
        <v>13</v>
      </c>
      <c r="D2" t="s">
        <v>15</v>
      </c>
      <c r="E2" t="s">
        <v>22</v>
      </c>
      <c r="F2">
        <v>5</v>
      </c>
      <c r="G2">
        <v>3270</v>
      </c>
      <c r="H2">
        <f>F2*G2</f>
        <v>16350</v>
      </c>
    </row>
    <row r="3" spans="1:8" x14ac:dyDescent="0.3">
      <c r="A3">
        <v>2</v>
      </c>
      <c r="B3" s="3">
        <v>40180</v>
      </c>
      <c r="C3" t="s">
        <v>12</v>
      </c>
      <c r="D3" t="s">
        <v>16</v>
      </c>
      <c r="E3" t="s">
        <v>22</v>
      </c>
      <c r="F3">
        <v>17</v>
      </c>
      <c r="G3">
        <v>4245</v>
      </c>
      <c r="H3">
        <f t="shared" ref="H3:H11" si="0">F3*G3</f>
        <v>72165</v>
      </c>
    </row>
    <row r="4" spans="1:8" x14ac:dyDescent="0.3">
      <c r="A4">
        <v>3</v>
      </c>
      <c r="B4" s="3">
        <v>40181</v>
      </c>
      <c r="C4" t="s">
        <v>13</v>
      </c>
      <c r="D4" t="s">
        <v>17</v>
      </c>
      <c r="E4" t="s">
        <v>22</v>
      </c>
      <c r="F4">
        <v>5</v>
      </c>
      <c r="G4">
        <v>4864</v>
      </c>
      <c r="H4">
        <f t="shared" si="0"/>
        <v>24320</v>
      </c>
    </row>
    <row r="5" spans="1:8" x14ac:dyDescent="0.3">
      <c r="A5">
        <v>4</v>
      </c>
      <c r="B5" s="3">
        <v>40182</v>
      </c>
      <c r="C5" t="s">
        <v>13</v>
      </c>
      <c r="D5" t="s">
        <v>18</v>
      </c>
      <c r="E5" t="s">
        <v>22</v>
      </c>
      <c r="F5">
        <v>6</v>
      </c>
      <c r="G5">
        <v>2381</v>
      </c>
      <c r="H5">
        <f t="shared" si="0"/>
        <v>14286</v>
      </c>
    </row>
    <row r="6" spans="1:8" x14ac:dyDescent="0.3">
      <c r="A6">
        <v>5</v>
      </c>
      <c r="B6" s="3">
        <v>40183</v>
      </c>
      <c r="C6" t="s">
        <v>11</v>
      </c>
      <c r="D6" t="s">
        <v>19</v>
      </c>
      <c r="E6" t="s">
        <v>22</v>
      </c>
      <c r="F6">
        <v>10</v>
      </c>
      <c r="G6">
        <v>3503</v>
      </c>
      <c r="H6">
        <f t="shared" si="0"/>
        <v>35030</v>
      </c>
    </row>
    <row r="7" spans="1:8" x14ac:dyDescent="0.3">
      <c r="A7">
        <v>6</v>
      </c>
      <c r="B7" s="3">
        <v>40184</v>
      </c>
      <c r="C7" t="s">
        <v>13</v>
      </c>
      <c r="D7" t="s">
        <v>15</v>
      </c>
      <c r="E7" t="s">
        <v>22</v>
      </c>
      <c r="F7">
        <v>5</v>
      </c>
      <c r="G7">
        <v>3176</v>
      </c>
      <c r="H7">
        <f t="shared" si="0"/>
        <v>15880</v>
      </c>
    </row>
    <row r="8" spans="1:8" x14ac:dyDescent="0.3">
      <c r="A8">
        <v>7</v>
      </c>
      <c r="B8" s="3">
        <v>40185</v>
      </c>
      <c r="C8" t="s">
        <v>12</v>
      </c>
      <c r="D8" t="s">
        <v>16</v>
      </c>
      <c r="E8" t="s">
        <v>22</v>
      </c>
      <c r="F8">
        <v>12</v>
      </c>
      <c r="G8">
        <v>4192</v>
      </c>
      <c r="H8">
        <f t="shared" si="0"/>
        <v>50304</v>
      </c>
    </row>
    <row r="9" spans="1:8" x14ac:dyDescent="0.3">
      <c r="A9">
        <v>8</v>
      </c>
      <c r="B9" s="3">
        <v>40186</v>
      </c>
      <c r="C9" t="s">
        <v>13</v>
      </c>
      <c r="D9" t="s">
        <v>17</v>
      </c>
      <c r="E9" t="s">
        <v>22</v>
      </c>
      <c r="F9">
        <v>2</v>
      </c>
      <c r="G9">
        <v>4793</v>
      </c>
      <c r="H9">
        <f t="shared" si="0"/>
        <v>9586</v>
      </c>
    </row>
    <row r="10" spans="1:8" x14ac:dyDescent="0.3">
      <c r="A10">
        <v>9</v>
      </c>
      <c r="B10" s="3">
        <v>40187</v>
      </c>
      <c r="C10" t="s">
        <v>13</v>
      </c>
      <c r="D10" t="s">
        <v>18</v>
      </c>
      <c r="E10" t="s">
        <v>22</v>
      </c>
      <c r="F10">
        <v>5</v>
      </c>
      <c r="G10">
        <v>2204</v>
      </c>
      <c r="H10">
        <f t="shared" si="0"/>
        <v>11020</v>
      </c>
    </row>
    <row r="11" spans="1:8" x14ac:dyDescent="0.3">
      <c r="A11">
        <v>10</v>
      </c>
      <c r="B11" s="3">
        <v>40188</v>
      </c>
      <c r="C11" t="s">
        <v>11</v>
      </c>
      <c r="D11" t="s">
        <v>19</v>
      </c>
      <c r="E11" t="s">
        <v>22</v>
      </c>
      <c r="F11">
        <v>18</v>
      </c>
      <c r="G11">
        <v>4183</v>
      </c>
      <c r="H11">
        <f t="shared" si="0"/>
        <v>75294</v>
      </c>
    </row>
    <row r="12" spans="1:8" x14ac:dyDescent="0.3">
      <c r="A12">
        <v>11</v>
      </c>
      <c r="B12" s="3">
        <v>40183</v>
      </c>
      <c r="C12" t="s">
        <v>11</v>
      </c>
      <c r="D12" t="s">
        <v>19</v>
      </c>
      <c r="E12" t="s">
        <v>22</v>
      </c>
      <c r="F12">
        <v>10</v>
      </c>
      <c r="G12">
        <v>3503</v>
      </c>
      <c r="H12">
        <f t="shared" ref="H12:H17" si="1">F12*G12</f>
        <v>35030</v>
      </c>
    </row>
    <row r="13" spans="1:8" x14ac:dyDescent="0.3">
      <c r="A13">
        <v>12</v>
      </c>
      <c r="B13" s="3">
        <v>40184</v>
      </c>
      <c r="C13" t="s">
        <v>13</v>
      </c>
      <c r="D13" t="s">
        <v>15</v>
      </c>
      <c r="E13" t="s">
        <v>22</v>
      </c>
      <c r="F13">
        <v>5</v>
      </c>
      <c r="G13">
        <v>3176</v>
      </c>
      <c r="H13">
        <f t="shared" si="1"/>
        <v>15880</v>
      </c>
    </row>
    <row r="14" spans="1:8" x14ac:dyDescent="0.3">
      <c r="A14">
        <v>13</v>
      </c>
      <c r="B14" s="3">
        <v>40185</v>
      </c>
      <c r="C14" t="s">
        <v>12</v>
      </c>
      <c r="D14" t="s">
        <v>16</v>
      </c>
      <c r="E14" t="s">
        <v>22</v>
      </c>
      <c r="F14">
        <v>12</v>
      </c>
      <c r="G14">
        <v>4192</v>
      </c>
      <c r="H14">
        <f t="shared" si="1"/>
        <v>50304</v>
      </c>
    </row>
    <row r="15" spans="1:8" x14ac:dyDescent="0.3">
      <c r="A15">
        <v>14</v>
      </c>
      <c r="B15" s="3">
        <v>40186</v>
      </c>
      <c r="C15" t="s">
        <v>13</v>
      </c>
      <c r="D15" t="s">
        <v>17</v>
      </c>
      <c r="E15" t="s">
        <v>22</v>
      </c>
      <c r="F15">
        <v>2</v>
      </c>
      <c r="G15">
        <v>4793</v>
      </c>
      <c r="H15">
        <f t="shared" si="1"/>
        <v>9586</v>
      </c>
    </row>
    <row r="16" spans="1:8" x14ac:dyDescent="0.3">
      <c r="A16">
        <v>15</v>
      </c>
      <c r="B16" s="3">
        <v>40187</v>
      </c>
      <c r="C16" t="s">
        <v>13</v>
      </c>
      <c r="D16" t="s">
        <v>18</v>
      </c>
      <c r="E16" t="s">
        <v>22</v>
      </c>
      <c r="F16">
        <v>5</v>
      </c>
      <c r="G16">
        <v>2204</v>
      </c>
      <c r="H16">
        <f t="shared" si="1"/>
        <v>11020</v>
      </c>
    </row>
    <row r="17" spans="1:8" x14ac:dyDescent="0.3">
      <c r="A17">
        <v>16</v>
      </c>
      <c r="B17" s="3">
        <v>40188</v>
      </c>
      <c r="C17" t="s">
        <v>11</v>
      </c>
      <c r="D17" t="s">
        <v>19</v>
      </c>
      <c r="E17" t="s">
        <v>22</v>
      </c>
      <c r="F17">
        <v>18</v>
      </c>
      <c r="G17">
        <v>4183</v>
      </c>
      <c r="H17">
        <f t="shared" si="1"/>
        <v>75294</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G21"/>
  <sheetViews>
    <sheetView showGridLines="0" workbookViewId="0"/>
  </sheetViews>
  <sheetFormatPr defaultRowHeight="14.4" x14ac:dyDescent="0.3"/>
  <cols>
    <col min="1" max="1" width="9.109375" style="1"/>
    <col min="2" max="2" width="7.88671875" bestFit="1" customWidth="1"/>
    <col min="3" max="4" width="9.5546875" bestFit="1" customWidth="1"/>
  </cols>
  <sheetData>
    <row r="2" spans="1:4" x14ac:dyDescent="0.3">
      <c r="B2" t="s">
        <v>25</v>
      </c>
    </row>
    <row r="3" spans="1:4" x14ac:dyDescent="0.3">
      <c r="B3" t="s">
        <v>26</v>
      </c>
    </row>
    <row r="4" spans="1:4" x14ac:dyDescent="0.3">
      <c r="B4" t="s">
        <v>27</v>
      </c>
    </row>
    <row r="5" spans="1:4" x14ac:dyDescent="0.3">
      <c r="B5" t="s">
        <v>28</v>
      </c>
    </row>
    <row r="6" spans="1:4" x14ac:dyDescent="0.3">
      <c r="B6" t="s">
        <v>35</v>
      </c>
    </row>
    <row r="7" spans="1:4" x14ac:dyDescent="0.3">
      <c r="B7" t="s">
        <v>36</v>
      </c>
    </row>
    <row r="8" spans="1:4" x14ac:dyDescent="0.3">
      <c r="B8" t="s">
        <v>37</v>
      </c>
    </row>
    <row r="9" spans="1:4" x14ac:dyDescent="0.3">
      <c r="B9" t="s">
        <v>29</v>
      </c>
    </row>
    <row r="10" spans="1:4" ht="15.6" x14ac:dyDescent="0.3">
      <c r="B10" s="6" t="s">
        <v>38</v>
      </c>
      <c r="C10" s="6"/>
    </row>
    <row r="11" spans="1:4" ht="15.6" x14ac:dyDescent="0.3">
      <c r="B11" s="6" t="s">
        <v>39</v>
      </c>
      <c r="C11" s="6"/>
    </row>
    <row r="12" spans="1:4" ht="15.6" x14ac:dyDescent="0.3">
      <c r="B12" s="6"/>
      <c r="C12" s="6"/>
    </row>
    <row r="13" spans="1:4" ht="15.6" x14ac:dyDescent="0.3">
      <c r="B13" s="10" t="s">
        <v>34</v>
      </c>
      <c r="C13" s="6"/>
    </row>
    <row r="15" spans="1:4" x14ac:dyDescent="0.3">
      <c r="A15" s="1">
        <v>1</v>
      </c>
      <c r="B15" s="7" t="s">
        <v>3</v>
      </c>
      <c r="C15" s="7" t="s">
        <v>23</v>
      </c>
      <c r="D15" s="8"/>
    </row>
    <row r="16" spans="1:4" x14ac:dyDescent="0.3">
      <c r="A16" s="1">
        <v>2</v>
      </c>
      <c r="B16" s="9" t="s">
        <v>1</v>
      </c>
      <c r="C16" s="7" t="s">
        <v>23</v>
      </c>
      <c r="D16" s="8"/>
    </row>
    <row r="17" spans="1:7" x14ac:dyDescent="0.3">
      <c r="A17" s="1">
        <v>3</v>
      </c>
      <c r="B17" s="7" t="s">
        <v>3</v>
      </c>
      <c r="C17" s="9" t="s">
        <v>1</v>
      </c>
      <c r="D17" s="7" t="s">
        <v>4</v>
      </c>
    </row>
    <row r="18" spans="1:7" x14ac:dyDescent="0.3">
      <c r="A18" s="1">
        <v>4</v>
      </c>
      <c r="B18" s="9" t="s">
        <v>0</v>
      </c>
      <c r="C18" s="7" t="s">
        <v>1</v>
      </c>
      <c r="D18" s="7" t="s">
        <v>23</v>
      </c>
      <c r="F18" s="5"/>
      <c r="G18" t="s">
        <v>30</v>
      </c>
    </row>
    <row r="21" spans="1:7" x14ac:dyDescent="0.3">
      <c r="A21" s="4" t="s">
        <v>24</v>
      </c>
      <c r="B21" t="s">
        <v>31</v>
      </c>
      <c r="C21" t="s">
        <v>32</v>
      </c>
      <c r="D21" t="s">
        <v>33</v>
      </c>
      <c r="E21" t="s">
        <v>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Dashboard</vt:lpstr>
      <vt:lpstr>RPT (4)</vt:lpstr>
      <vt:lpstr>RPT (3)</vt:lpstr>
      <vt:lpstr>RPT (2)</vt:lpstr>
      <vt:lpstr>RPT</vt:lpstr>
      <vt:lpstr>Data</vt:lpstr>
      <vt:lpstr>East</vt:lpstr>
      <vt:lpstr>West</vt:lpstr>
      <vt:lpstr>South</vt:lpstr>
      <vt:lpstr>North</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Ashok Sindkar</dc:creator>
  <cp:lastModifiedBy>Vaishnavi Datir</cp:lastModifiedBy>
  <dcterms:created xsi:type="dcterms:W3CDTF">2020-07-03T08:10:56Z</dcterms:created>
  <dcterms:modified xsi:type="dcterms:W3CDTF">2021-08-04T10:31:20Z</dcterms:modified>
</cp:coreProperties>
</file>